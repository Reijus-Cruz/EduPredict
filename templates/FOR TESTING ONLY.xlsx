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relim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layco</author>
  </authors>
  <commentList>
    <comment ref="AF15" authorId="0">
      <text>
        <r>
          <rPr>
            <b/>
            <sz val="14"/>
            <rFont val="Arial"/>
            <charset val="0"/>
          </rPr>
          <t>1:00pm - 4:00pm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<sst xmlns="http://schemas.openxmlformats.org/spreadsheetml/2006/main" count="144" uniqueCount="70">
  <si>
    <t>STI WEST NEGROS UNIVERSITY</t>
  </si>
  <si>
    <t>Burgos St., Bacolod City 6100</t>
  </si>
  <si>
    <t>COLLEGE of INFORMATION and COMMUNICATIONS TECHNOLOGY</t>
  </si>
  <si>
    <t>.</t>
  </si>
  <si>
    <t>ENGR1035: IT Elective 2</t>
  </si>
  <si>
    <t>PRELIM CLASS RECORD - BSIT 3E</t>
  </si>
  <si>
    <t>1st Semester Academic Year 2025-2026</t>
  </si>
  <si>
    <t>NO.</t>
  </si>
  <si>
    <t>NAME</t>
  </si>
  <si>
    <t>CLASS STANDING</t>
  </si>
  <si>
    <t>TASK PERFORMANCE</t>
  </si>
  <si>
    <t>EXAMINATION</t>
  </si>
  <si>
    <t>PRELIM GRADE</t>
  </si>
  <si>
    <t>ATTENDANCE</t>
  </si>
  <si>
    <t>QUIZ</t>
  </si>
  <si>
    <t>AT</t>
  </si>
  <si>
    <t>S1</t>
  </si>
  <si>
    <t>TOTAL</t>
  </si>
  <si>
    <t>EQUIV</t>
  </si>
  <si>
    <t>RPT</t>
  </si>
  <si>
    <t>A3</t>
  </si>
  <si>
    <t>LAB A1</t>
  </si>
  <si>
    <t>LAB A2</t>
  </si>
  <si>
    <t>LAB A3</t>
  </si>
  <si>
    <t xml:space="preserve"> LAB A4</t>
  </si>
  <si>
    <t>SCORE</t>
  </si>
  <si>
    <t>ANTOLO,  PAUL ANDRE</t>
  </si>
  <si>
    <t>P</t>
  </si>
  <si>
    <t>ARELLANO,  HERO LLOYD</t>
  </si>
  <si>
    <t>p</t>
  </si>
  <si>
    <t>BATISLA-ON,  JOHN NICO LAWRENCE</t>
  </si>
  <si>
    <t>CARVAJAL,  RASHEED</t>
  </si>
  <si>
    <t>CELIS,  JOHN MICHAEL</t>
  </si>
  <si>
    <t>DE ASIS,  SAMANTHA</t>
  </si>
  <si>
    <t>DECREPITO,  KEVIN</t>
  </si>
  <si>
    <t>DELAGAO,  REYDIAN</t>
  </si>
  <si>
    <t>L</t>
  </si>
  <si>
    <t>DEPALUBOS,  OMEGA JIRAH</t>
  </si>
  <si>
    <t>EDAÑO,  KYL REMIEL</t>
  </si>
  <si>
    <t>ESTORCO,  EMMANUEL KAY JOHN</t>
  </si>
  <si>
    <t>FETALINO,  CIVREL MARLYNETTE</t>
  </si>
  <si>
    <t>FRANCISCO, SHANE</t>
  </si>
  <si>
    <t>GARBO,  JUDITH</t>
  </si>
  <si>
    <t>GENOVIA,  BENNIE</t>
  </si>
  <si>
    <t>GINETE,  MOISES</t>
  </si>
  <si>
    <t>GLARAGA,  GLATE MARIE</t>
  </si>
  <si>
    <t>GLEYO,  JOHN GODFREY</t>
  </si>
  <si>
    <t>GONZAGA,  ALJAY</t>
  </si>
  <si>
    <t>MABAYLAN,  JOHN REIDEN</t>
  </si>
  <si>
    <t>MALACA,  REYGEE</t>
  </si>
  <si>
    <t>MANANSALA,  DAVID KIEAN</t>
  </si>
  <si>
    <t>MANDAL,  ZOE NICOLE</t>
  </si>
  <si>
    <t>MARCIANO,  KEVIN NICOLAS</t>
  </si>
  <si>
    <t>MAYORDO,  PRINCE VIC</t>
  </si>
  <si>
    <t>MILLADO.,  SYMER</t>
  </si>
  <si>
    <t>PALMA,  JOHLAN NICOLE</t>
  </si>
  <si>
    <t>PECHA,  CHARLES</t>
  </si>
  <si>
    <t>PENIERO,  JEWIELLE JOHN</t>
  </si>
  <si>
    <t>PERMALES,  SEIGFRED JHON</t>
  </si>
  <si>
    <t>SALANAP,  ALTHEA</t>
  </si>
  <si>
    <t>TUBONGBANUA,  ROCK</t>
  </si>
  <si>
    <t>Submitted by:</t>
  </si>
  <si>
    <t>Reviewed by:</t>
  </si>
  <si>
    <t>Approved by:</t>
  </si>
  <si>
    <t>Mr. Reijus M. Cruz</t>
  </si>
  <si>
    <t>Mr. Ariel Sumagaysay</t>
  </si>
  <si>
    <t>MAE B. LODANA, Ph.D.TM</t>
  </si>
  <si>
    <t>Course Instructor</t>
  </si>
  <si>
    <t>Program Head, BSIT</t>
  </si>
  <si>
    <t>Dean, CICT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</si>
</sst>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  <numFmt numFmtId="177" formatCode="0.0_ "/>
  </numFmts>
  <fonts count="43">
    <font>
      <sz val="11"/>
      <color theme="1"/>
      <name val="Calibri"/>
      <charset val="134"/>
      <scheme val="minor"/>
    </font>
    <font>
      <b/>
      <sz val="25"/>
      <color theme="1"/>
      <name val="Calibri"/>
      <charset val="134"/>
      <scheme val="minor"/>
    </font>
    <font>
      <sz val="25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40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sz val="40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35"/>
      <color theme="1"/>
      <name val="Calibri"/>
      <charset val="134"/>
      <scheme val="minor"/>
    </font>
    <font>
      <b/>
      <sz val="50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sz val="30"/>
      <color theme="1"/>
      <name val="Calibri"/>
      <charset val="134"/>
      <scheme val="minor"/>
    </font>
    <font>
      <b/>
      <sz val="26"/>
      <name val="Arial"/>
      <charset val="134"/>
    </font>
    <font>
      <sz val="15"/>
      <color theme="0"/>
      <name val="Calibri"/>
      <charset val="134"/>
      <scheme val="minor"/>
    </font>
    <font>
      <sz val="40"/>
      <color theme="0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b/>
      <sz val="28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sz val="40"/>
      <color theme="1"/>
      <name val="Calibri"/>
      <charset val="134"/>
    </font>
    <font>
      <sz val="40"/>
      <name val="Calibri"/>
      <charset val="134"/>
    </font>
    <font>
      <b/>
      <sz val="40"/>
      <color theme="1"/>
      <name val="Calibri"/>
      <charset val="134"/>
    </font>
    <font>
      <b/>
      <sz val="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Arial"/>
      <charset val="0"/>
    </font>
    <font>
      <sz val="9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225AA5"/>
        <bgColor indexed="64"/>
      </patternFill>
    </fill>
    <fill>
      <patternFill patternType="solid">
        <fgColor rgb="FFFEF2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15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13" applyNumberFormat="0" applyAlignment="0" applyProtection="0">
      <alignment vertical="center"/>
    </xf>
    <xf numFmtId="0" fontId="31" fillId="15" borderId="14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3" fillId="16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/>
    <xf numFmtId="0" fontId="7" fillId="0" borderId="0" xfId="0" applyFont="1" applyFill="1" applyAlignment="1"/>
    <xf numFmtId="0" fontId="5" fillId="0" borderId="0" xfId="0" applyFont="1" applyFill="1" applyAlignment="1"/>
    <xf numFmtId="0" fontId="5" fillId="0" borderId="0" xfId="0" applyFont="1"/>
    <xf numFmtId="0" fontId="4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 applyProtection="1">
      <protection locked="0"/>
    </xf>
    <xf numFmtId="0" fontId="2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/>
    <xf numFmtId="9" fontId="1" fillId="3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/>
    </xf>
    <xf numFmtId="9" fontId="1" fillId="3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/>
    </xf>
    <xf numFmtId="176" fontId="16" fillId="8" borderId="1" xfId="0" applyNumberFormat="1" applyFont="1" applyFill="1" applyBorder="1" applyAlignment="1"/>
    <xf numFmtId="0" fontId="15" fillId="8" borderId="1" xfId="0" applyFont="1" applyFill="1" applyBorder="1" applyAlignment="1"/>
    <xf numFmtId="0" fontId="7" fillId="0" borderId="1" xfId="0" applyFont="1" applyFill="1" applyBorder="1" applyAlignment="1"/>
    <xf numFmtId="0" fontId="5" fillId="0" borderId="1" xfId="0" applyFont="1" applyFill="1" applyBorder="1" applyAlignment="1"/>
    <xf numFmtId="0" fontId="7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7" fillId="9" borderId="4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17" fillId="9" borderId="7" xfId="0" applyFont="1" applyFill="1" applyBorder="1" applyAlignment="1">
      <alignment horizontal="center"/>
    </xf>
    <xf numFmtId="58" fontId="1" fillId="0" borderId="1" xfId="0" applyNumberFormat="1" applyFont="1" applyFill="1" applyBorder="1" applyAlignment="1"/>
    <xf numFmtId="176" fontId="18" fillId="0" borderId="8" xfId="0" applyNumberFormat="1" applyFont="1" applyFill="1" applyBorder="1" applyAlignment="1"/>
    <xf numFmtId="0" fontId="19" fillId="10" borderId="1" xfId="0" applyFont="1" applyFill="1" applyBorder="1" applyAlignment="1" applyProtection="1">
      <protection locked="0"/>
    </xf>
    <xf numFmtId="0" fontId="19" fillId="11" borderId="1" xfId="0" applyFont="1" applyFill="1" applyBorder="1" applyAlignment="1" applyProtection="1">
      <protection locked="0"/>
    </xf>
    <xf numFmtId="0" fontId="18" fillId="11" borderId="1" xfId="0" applyFont="1" applyFill="1" applyBorder="1" applyAlignment="1"/>
    <xf numFmtId="176" fontId="18" fillId="0" borderId="9" xfId="0" applyNumberFormat="1" applyFont="1" applyFill="1" applyBorder="1" applyAlignment="1"/>
    <xf numFmtId="176" fontId="20" fillId="0" borderId="8" xfId="0" applyNumberFormat="1" applyFont="1" applyFill="1" applyBorder="1" applyAlignment="1"/>
    <xf numFmtId="0" fontId="18" fillId="12" borderId="8" xfId="0" applyFont="1" applyFill="1" applyBorder="1" applyAlignment="1"/>
    <xf numFmtId="0" fontId="20" fillId="11" borderId="1" xfId="0" applyFont="1" applyFill="1" applyBorder="1" applyAlignment="1"/>
    <xf numFmtId="0" fontId="21" fillId="12" borderId="1" xfId="0" applyFont="1" applyFill="1" applyBorder="1" applyAlignment="1" applyProtection="1">
      <protection locked="0"/>
    </xf>
    <xf numFmtId="0" fontId="21" fillId="10" borderId="1" xfId="0" applyFont="1" applyFill="1" applyBorder="1" applyAlignment="1" applyProtection="1">
      <protection locked="0"/>
    </xf>
    <xf numFmtId="177" fontId="18" fillId="11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1352550</xdr:colOff>
      <xdr:row>1</xdr:row>
      <xdr:rowOff>585355</xdr:rowOff>
    </xdr:from>
    <xdr:to>
      <xdr:col>20</xdr:col>
      <xdr:colOff>213995</xdr:colOff>
      <xdr:row>7</xdr:row>
      <xdr:rowOff>116725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850" y="1240155"/>
          <a:ext cx="2625725" cy="2672715"/>
        </a:xfrm>
        <a:prstGeom prst="rect">
          <a:avLst/>
        </a:prstGeom>
      </xdr:spPr>
    </xdr:pic>
    <xdr:clientData/>
  </xdr:twoCellAnchor>
  <xdr:twoCellAnchor editAs="oneCell">
    <xdr:from>
      <xdr:col>1</xdr:col>
      <xdr:colOff>22515</xdr:colOff>
      <xdr:row>1</xdr:row>
      <xdr:rowOff>640774</xdr:rowOff>
    </xdr:from>
    <xdr:to>
      <xdr:col>1</xdr:col>
      <xdr:colOff>2552990</xdr:colOff>
      <xdr:row>5</xdr:row>
      <xdr:rowOff>552509</xdr:rowOff>
    </xdr:to>
    <xdr:pic>
      <xdr:nvPicPr>
        <xdr:cNvPr id="3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365" y="1296035"/>
          <a:ext cx="2530475" cy="2397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700918607135"/>
    <pageSetUpPr fitToPage="1"/>
  </sheetPr>
  <dimension ref="A3:AJ66"/>
  <sheetViews>
    <sheetView tabSelected="1" zoomScale="40" zoomScaleNormal="40" topLeftCell="A12" workbookViewId="0">
      <selection activeCell="AK1" sqref="AK$1:AR$1048576"/>
    </sheetView>
  </sheetViews>
  <sheetFormatPr defaultColWidth="8.88888888888889" defaultRowHeight="51.6"/>
  <cols>
    <col min="1" max="1" width="16.3333333333333" style="6" customWidth="1"/>
    <col min="2" max="2" width="101.444444444444" style="7" customWidth="1"/>
    <col min="3" max="4" width="15.6666666666667" style="8" customWidth="1"/>
    <col min="5" max="5" width="15.6666666666667" style="8" hidden="1" customWidth="1"/>
    <col min="6" max="6" width="15.6666666666667" style="8" customWidth="1"/>
    <col min="7" max="7" width="28" style="8" customWidth="1"/>
    <col min="8" max="8" width="21.8888888888889" style="8" customWidth="1"/>
    <col min="9" max="9" width="0.444444444444444" style="8" hidden="1" customWidth="1"/>
    <col min="10" max="10" width="15.6666666666667" style="8" hidden="1" customWidth="1"/>
    <col min="11" max="13" width="16.7777777777778" style="8" customWidth="1"/>
    <col min="14" max="14" width="18" style="8" customWidth="1"/>
    <col min="15" max="15" width="15.6666666666667" style="8" customWidth="1"/>
    <col min="16" max="16" width="29.4444444444444" style="8" customWidth="1"/>
    <col min="17" max="17" width="22.7777777777778" style="8" customWidth="1"/>
    <col min="18" max="18" width="23" style="8" customWidth="1"/>
    <col min="19" max="19" width="27.2222222222222" style="8" customWidth="1"/>
    <col min="20" max="20" width="27.6666666666667" style="8" customWidth="1"/>
    <col min="21" max="21" width="32.7777777777778" style="9" customWidth="1"/>
    <col min="22" max="22" width="15.4444444444444" style="10" hidden="1" customWidth="1"/>
    <col min="23" max="29" width="8.88888888888889" style="11" hidden="1" customWidth="1"/>
    <col min="30" max="30" width="21.6666666666667" style="11" hidden="1" customWidth="1"/>
    <col min="31" max="31" width="26.8888888888889" style="11" customWidth="1"/>
    <col min="32" max="32" width="26.5555555555556" style="11" customWidth="1"/>
    <col min="33" max="35" width="25.6666666666667" style="11" customWidth="1"/>
    <col min="36" max="36" width="24.2222222222222" style="11" customWidth="1"/>
    <col min="37" max="16376" width="8.88888888888889" style="11"/>
    <col min="16377" max="16384" width="8.88888888888889" style="12"/>
  </cols>
  <sheetData>
    <row r="3" customHeight="1" spans="1:21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ht="40.95" customHeight="1" spans="1:21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6" spans="1:31">
      <c r="A6" s="13" t="s">
        <v>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AE6" s="11" t="s">
        <v>3</v>
      </c>
    </row>
    <row r="7" hidden="1" customHeight="1" spans="1:2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ht="63.6" spans="1:21">
      <c r="A8" s="15" t="s">
        <v>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ht="63.6" spans="1:21">
      <c r="A9" s="15" t="s">
        <v>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45" spans="1:21">
      <c r="A10" s="14" t="s">
        <v>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hidden="1" spans="1:21">
      <c r="A11" s="14"/>
      <c r="B11" s="14"/>
      <c r="C11" s="14"/>
      <c r="D11" s="14"/>
      <c r="E11" s="14"/>
      <c r="F11" s="14"/>
      <c r="G11" s="14"/>
      <c r="H11" s="14"/>
      <c r="I11" s="36"/>
      <c r="J11" s="36"/>
      <c r="K11" s="36"/>
      <c r="L11" s="36"/>
      <c r="M11" s="36"/>
      <c r="N11" s="36"/>
      <c r="O11" s="36"/>
      <c r="P11" s="36"/>
      <c r="R11" s="36"/>
      <c r="S11" s="36"/>
      <c r="U11" s="39"/>
    </row>
    <row r="12" ht="34.95" customHeight="1"/>
    <row r="13" s="1" customFormat="1" ht="62.4" customHeight="1" spans="1:36">
      <c r="A13" s="16" t="s">
        <v>7</v>
      </c>
      <c r="B13" s="17" t="s">
        <v>8</v>
      </c>
      <c r="C13" s="16" t="s">
        <v>9</v>
      </c>
      <c r="D13" s="16"/>
      <c r="E13" s="16"/>
      <c r="F13" s="16"/>
      <c r="G13" s="16"/>
      <c r="H13" s="18">
        <v>0.2</v>
      </c>
      <c r="I13" s="16" t="s">
        <v>10</v>
      </c>
      <c r="J13" s="16"/>
      <c r="K13" s="16"/>
      <c r="L13" s="16"/>
      <c r="M13" s="16"/>
      <c r="N13" s="16"/>
      <c r="O13" s="16"/>
      <c r="P13" s="16"/>
      <c r="Q13" s="40">
        <v>0.3</v>
      </c>
      <c r="R13" s="16" t="s">
        <v>11</v>
      </c>
      <c r="S13" s="16"/>
      <c r="T13" s="40">
        <v>0.5</v>
      </c>
      <c r="U13" s="41" t="s">
        <v>12</v>
      </c>
      <c r="V13" s="42" t="s">
        <v>13</v>
      </c>
      <c r="W13" s="42"/>
      <c r="X13" s="42"/>
      <c r="Y13" s="42"/>
      <c r="Z13" s="42"/>
      <c r="AA13" s="42"/>
      <c r="AB13" s="42"/>
      <c r="AC13" s="42"/>
      <c r="AD13" s="52" t="s">
        <v>13</v>
      </c>
      <c r="AE13" s="53"/>
      <c r="AF13" s="53"/>
      <c r="AG13" s="53"/>
      <c r="AH13" s="53"/>
      <c r="AI13" s="53"/>
      <c r="AJ13" s="53"/>
    </row>
    <row r="14" s="1" customFormat="1" ht="57.6" customHeight="1" spans="1:36">
      <c r="A14" s="16"/>
      <c r="B14" s="17"/>
      <c r="C14" s="19" t="s">
        <v>14</v>
      </c>
      <c r="D14" s="19" t="s">
        <v>15</v>
      </c>
      <c r="E14" s="19" t="s">
        <v>16</v>
      </c>
      <c r="F14" s="19" t="s">
        <v>17</v>
      </c>
      <c r="G14" s="19" t="s">
        <v>18</v>
      </c>
      <c r="H14" s="18"/>
      <c r="I14" s="19" t="s">
        <v>19</v>
      </c>
      <c r="J14" s="19" t="s">
        <v>20</v>
      </c>
      <c r="K14" s="19" t="s">
        <v>21</v>
      </c>
      <c r="L14" s="19" t="s">
        <v>22</v>
      </c>
      <c r="M14" s="19" t="s">
        <v>23</v>
      </c>
      <c r="N14" s="19" t="s">
        <v>24</v>
      </c>
      <c r="O14" s="19" t="s">
        <v>17</v>
      </c>
      <c r="P14" s="19" t="s">
        <v>18</v>
      </c>
      <c r="Q14" s="43"/>
      <c r="R14" s="19" t="s">
        <v>25</v>
      </c>
      <c r="S14" s="19" t="s">
        <v>18</v>
      </c>
      <c r="T14" s="43"/>
      <c r="U14" s="44"/>
      <c r="V14" s="42"/>
      <c r="W14" s="42"/>
      <c r="X14" s="42"/>
      <c r="Y14" s="42"/>
      <c r="Z14" s="42"/>
      <c r="AA14" s="42"/>
      <c r="AB14" s="42"/>
      <c r="AC14" s="42"/>
      <c r="AD14" s="54"/>
      <c r="AE14" s="55"/>
      <c r="AF14" s="55"/>
      <c r="AG14" s="55"/>
      <c r="AH14" s="55"/>
      <c r="AI14" s="55"/>
      <c r="AJ14" s="55"/>
    </row>
    <row r="15" s="1" customFormat="1" ht="60.6" customHeight="1" spans="1:36">
      <c r="A15" s="16"/>
      <c r="B15" s="17"/>
      <c r="C15" s="20">
        <v>10</v>
      </c>
      <c r="D15" s="20">
        <v>7.5</v>
      </c>
      <c r="E15" s="20">
        <v>0</v>
      </c>
      <c r="F15" s="20">
        <f>SUM(C15:E15)</f>
        <v>17.5</v>
      </c>
      <c r="G15" s="21">
        <f>F15/$F$15*50+50</f>
        <v>100</v>
      </c>
      <c r="H15" s="21">
        <f>G15*$H$13</f>
        <v>20</v>
      </c>
      <c r="I15" s="37">
        <v>0</v>
      </c>
      <c r="J15" s="37"/>
      <c r="K15" s="37">
        <v>25</v>
      </c>
      <c r="L15" s="37">
        <v>25</v>
      </c>
      <c r="M15" s="37">
        <v>25</v>
      </c>
      <c r="N15" s="37">
        <v>25</v>
      </c>
      <c r="O15" s="37">
        <f>SUM(I15:N15)</f>
        <v>100</v>
      </c>
      <c r="P15" s="38">
        <f>O15/$O$15*50+50</f>
        <v>100</v>
      </c>
      <c r="Q15" s="38">
        <f>P15*$Q$13</f>
        <v>30</v>
      </c>
      <c r="R15" s="37">
        <v>50</v>
      </c>
      <c r="S15" s="38">
        <f>R15/$R$15*50+50</f>
        <v>100</v>
      </c>
      <c r="T15" s="38">
        <f>S15*$T$13</f>
        <v>50</v>
      </c>
      <c r="U15" s="45">
        <f>SUM(H15,Q15,T15)</f>
        <v>100</v>
      </c>
      <c r="V15" s="46">
        <v>46419</v>
      </c>
      <c r="W15" s="47"/>
      <c r="X15" s="47"/>
      <c r="Y15" s="47"/>
      <c r="Z15" s="47"/>
      <c r="AA15" s="47"/>
      <c r="AB15" s="47"/>
      <c r="AC15" s="47"/>
      <c r="AD15" s="56">
        <v>45870</v>
      </c>
      <c r="AE15" s="57">
        <v>44044</v>
      </c>
      <c r="AF15" s="57">
        <v>45139</v>
      </c>
      <c r="AG15" s="57">
        <v>38961</v>
      </c>
      <c r="AH15" s="61">
        <v>40422</v>
      </c>
      <c r="AI15" s="62">
        <v>41518</v>
      </c>
      <c r="AJ15" s="63" t="s">
        <v>17</v>
      </c>
    </row>
    <row r="16" spans="1:36">
      <c r="A16" s="22">
        <v>1</v>
      </c>
      <c r="B16" s="23" t="s">
        <v>26</v>
      </c>
      <c r="C16" s="24">
        <v>0</v>
      </c>
      <c r="D16" s="24">
        <v>1.5</v>
      </c>
      <c r="E16" s="24"/>
      <c r="F16" s="19">
        <f>SUM(C16:E16)</f>
        <v>1.5</v>
      </c>
      <c r="G16" s="25">
        <f>F16/$F$15*50+50</f>
        <v>54.2857142857143</v>
      </c>
      <c r="H16" s="26">
        <f>G16*$H$13</f>
        <v>10.8571428571429</v>
      </c>
      <c r="I16" s="19">
        <v>0</v>
      </c>
      <c r="J16" s="24"/>
      <c r="K16" s="24">
        <v>25</v>
      </c>
      <c r="L16" s="24">
        <v>25</v>
      </c>
      <c r="M16" s="24">
        <v>25</v>
      </c>
      <c r="N16" s="24">
        <v>25</v>
      </c>
      <c r="O16" s="19">
        <f>SUM(I16:N16)</f>
        <v>100</v>
      </c>
      <c r="P16" s="25">
        <f>O16/$O$15*50+50</f>
        <v>100</v>
      </c>
      <c r="Q16" s="26">
        <f>P16*$Q$13</f>
        <v>30</v>
      </c>
      <c r="R16" s="19">
        <v>48</v>
      </c>
      <c r="S16" s="25">
        <f>R16/$R$15*50+50</f>
        <v>98</v>
      </c>
      <c r="T16" s="26">
        <f>S16*$T$13</f>
        <v>49</v>
      </c>
      <c r="U16" s="25">
        <f>SUM(H16,Q16,T16)</f>
        <v>89.8571428571429</v>
      </c>
      <c r="V16" s="48" t="s">
        <v>27</v>
      </c>
      <c r="W16" s="49" t="s">
        <v>27</v>
      </c>
      <c r="X16" s="49" t="s">
        <v>27</v>
      </c>
      <c r="Y16" s="49"/>
      <c r="Z16" s="49"/>
      <c r="AA16" s="49"/>
      <c r="AB16" s="49"/>
      <c r="AC16" s="49"/>
      <c r="AD16" s="49"/>
      <c r="AE16" s="58"/>
      <c r="AF16" s="58"/>
      <c r="AG16" s="58"/>
      <c r="AH16" s="58"/>
      <c r="AI16" s="64">
        <v>1.5</v>
      </c>
      <c r="AJ16" s="65">
        <f>AE16+AF16+AG16+AH16+AI16</f>
        <v>1.5</v>
      </c>
    </row>
    <row r="17" spans="1:36">
      <c r="A17" s="22">
        <v>2</v>
      </c>
      <c r="B17" s="23" t="s">
        <v>28</v>
      </c>
      <c r="C17" s="24">
        <v>10</v>
      </c>
      <c r="D17" s="24">
        <v>5.5</v>
      </c>
      <c r="E17" s="24"/>
      <c r="F17" s="19">
        <f>SUM(C17:E17)</f>
        <v>15.5</v>
      </c>
      <c r="G17" s="25">
        <f>F17/$F$15*50+50</f>
        <v>94.2857142857143</v>
      </c>
      <c r="H17" s="26">
        <f>G17*$H$13</f>
        <v>18.8571428571429</v>
      </c>
      <c r="I17" s="19">
        <v>0</v>
      </c>
      <c r="J17" s="24"/>
      <c r="K17" s="24">
        <v>25</v>
      </c>
      <c r="L17" s="24">
        <v>25</v>
      </c>
      <c r="M17" s="24">
        <v>25</v>
      </c>
      <c r="N17" s="24">
        <v>25</v>
      </c>
      <c r="O17" s="19">
        <f>SUM(I17:N17)</f>
        <v>100</v>
      </c>
      <c r="P17" s="25">
        <f>O17/$O$15*50+50</f>
        <v>100</v>
      </c>
      <c r="Q17" s="26">
        <f>P17*$Q$13</f>
        <v>30</v>
      </c>
      <c r="R17" s="19">
        <v>45</v>
      </c>
      <c r="S17" s="25">
        <f>R17/$R$15*50+50</f>
        <v>95</v>
      </c>
      <c r="T17" s="26">
        <f>S17*$T$13</f>
        <v>47.5</v>
      </c>
      <c r="U17" s="25">
        <f>SUM(H17,Q17,T17)</f>
        <v>96.3571428571429</v>
      </c>
      <c r="V17" s="48" t="s">
        <v>27</v>
      </c>
      <c r="W17" s="49" t="s">
        <v>29</v>
      </c>
      <c r="X17" s="49"/>
      <c r="Y17" s="49"/>
      <c r="Z17" s="49"/>
      <c r="AA17" s="49"/>
      <c r="AB17" s="49"/>
      <c r="AC17" s="49"/>
      <c r="AE17" s="58"/>
      <c r="AF17" s="59">
        <v>1.5</v>
      </c>
      <c r="AG17" s="59">
        <v>1</v>
      </c>
      <c r="AH17" s="59">
        <v>1.5</v>
      </c>
      <c r="AI17" s="64">
        <v>1.5</v>
      </c>
      <c r="AJ17" s="65">
        <f>AE17+AF17+AG17+AH17+AI17</f>
        <v>5.5</v>
      </c>
    </row>
    <row r="18" spans="1:36">
      <c r="A18" s="22">
        <v>3</v>
      </c>
      <c r="B18" s="23" t="s">
        <v>30</v>
      </c>
      <c r="C18" s="24">
        <v>10</v>
      </c>
      <c r="D18" s="24">
        <v>6</v>
      </c>
      <c r="E18" s="24"/>
      <c r="F18" s="19">
        <f>SUM(C18:E18)</f>
        <v>16</v>
      </c>
      <c r="G18" s="25">
        <f>F18/$F$15*50+50</f>
        <v>95.7142857142857</v>
      </c>
      <c r="H18" s="26">
        <f>G18*$H$13</f>
        <v>19.1428571428571</v>
      </c>
      <c r="I18" s="19">
        <v>0</v>
      </c>
      <c r="J18" s="24"/>
      <c r="K18" s="24">
        <v>25</v>
      </c>
      <c r="L18" s="24">
        <v>25</v>
      </c>
      <c r="M18" s="24">
        <v>25</v>
      </c>
      <c r="N18" s="24">
        <v>25</v>
      </c>
      <c r="O18" s="19">
        <f>SUM(I18:N18)</f>
        <v>100</v>
      </c>
      <c r="P18" s="25">
        <f>O18/$O$15*50+50</f>
        <v>100</v>
      </c>
      <c r="Q18" s="26">
        <f>P18*$Q$13</f>
        <v>30</v>
      </c>
      <c r="R18" s="19">
        <v>49</v>
      </c>
      <c r="S18" s="25">
        <f>R18/$R$15*50+50</f>
        <v>99</v>
      </c>
      <c r="T18" s="26">
        <f>S18*$T$13</f>
        <v>49.5</v>
      </c>
      <c r="U18" s="25">
        <f>SUM(H18,Q18,T18)</f>
        <v>98.6428571428571</v>
      </c>
      <c r="V18" s="48" t="s">
        <v>27</v>
      </c>
      <c r="W18" s="49" t="s">
        <v>27</v>
      </c>
      <c r="X18" s="49" t="s">
        <v>27</v>
      </c>
      <c r="Y18" s="49"/>
      <c r="Z18" s="49"/>
      <c r="AA18" s="49"/>
      <c r="AB18" s="49"/>
      <c r="AC18" s="49"/>
      <c r="AD18" s="49"/>
      <c r="AE18" s="58"/>
      <c r="AF18" s="59">
        <v>1.5</v>
      </c>
      <c r="AG18" s="60">
        <v>1.5</v>
      </c>
      <c r="AH18" s="60">
        <v>1.5</v>
      </c>
      <c r="AI18" s="64">
        <v>1.5</v>
      </c>
      <c r="AJ18" s="65">
        <f>AE18+AF18+AG18+AH18+AI18</f>
        <v>6</v>
      </c>
    </row>
    <row r="19" spans="1:36">
      <c r="A19" s="22">
        <v>4</v>
      </c>
      <c r="B19" s="23" t="s">
        <v>31</v>
      </c>
      <c r="C19" s="24">
        <v>7</v>
      </c>
      <c r="D19" s="24">
        <v>5.5</v>
      </c>
      <c r="E19" s="24"/>
      <c r="F19" s="19">
        <f>SUM(C19:E19)</f>
        <v>12.5</v>
      </c>
      <c r="G19" s="25">
        <f>F19/$F$15*50+50</f>
        <v>85.7142857142857</v>
      </c>
      <c r="H19" s="26">
        <f>G19*$H$13</f>
        <v>17.1428571428571</v>
      </c>
      <c r="I19" s="19">
        <v>0</v>
      </c>
      <c r="J19" s="24"/>
      <c r="K19" s="24">
        <v>25</v>
      </c>
      <c r="L19" s="24">
        <v>25</v>
      </c>
      <c r="M19" s="24">
        <v>25</v>
      </c>
      <c r="N19" s="24">
        <v>25</v>
      </c>
      <c r="O19" s="19">
        <f>SUM(I19:N19)</f>
        <v>100</v>
      </c>
      <c r="P19" s="25">
        <f>O19/$O$15*50+50</f>
        <v>100</v>
      </c>
      <c r="Q19" s="26">
        <f>P19*$Q$13</f>
        <v>30</v>
      </c>
      <c r="R19" s="19">
        <v>50</v>
      </c>
      <c r="S19" s="25">
        <f>R19/$R$15*50+50</f>
        <v>100</v>
      </c>
      <c r="T19" s="26">
        <f>S19*$T$13</f>
        <v>50</v>
      </c>
      <c r="U19" s="25">
        <f>SUM(H19,Q19,T19)</f>
        <v>97.1428571428571</v>
      </c>
      <c r="V19" s="48"/>
      <c r="W19" s="49"/>
      <c r="X19" s="49" t="s">
        <v>27</v>
      </c>
      <c r="Y19" s="49"/>
      <c r="Z19" s="49"/>
      <c r="AA19" s="49"/>
      <c r="AB19" s="49"/>
      <c r="AC19" s="49"/>
      <c r="AD19" s="49"/>
      <c r="AE19" s="58"/>
      <c r="AF19" s="59">
        <v>1.5</v>
      </c>
      <c r="AG19" s="60">
        <v>1</v>
      </c>
      <c r="AH19" s="60">
        <v>1.5</v>
      </c>
      <c r="AI19" s="64">
        <v>1.5</v>
      </c>
      <c r="AJ19" s="65">
        <f>AE19+AF19+AG19+AH19+AI19</f>
        <v>5.5</v>
      </c>
    </row>
    <row r="20" spans="1:36">
      <c r="A20" s="22">
        <v>5</v>
      </c>
      <c r="B20" s="23" t="s">
        <v>32</v>
      </c>
      <c r="C20" s="24">
        <v>9</v>
      </c>
      <c r="D20" s="24">
        <v>6</v>
      </c>
      <c r="E20" s="24"/>
      <c r="F20" s="19">
        <f>SUM(C20:E20)</f>
        <v>15</v>
      </c>
      <c r="G20" s="25">
        <f>F20/$F$15*50+50</f>
        <v>92.8571428571429</v>
      </c>
      <c r="H20" s="26">
        <f>G20*$H$13</f>
        <v>18.5714285714286</v>
      </c>
      <c r="I20" s="19">
        <v>0</v>
      </c>
      <c r="J20" s="24"/>
      <c r="K20" s="24">
        <v>25</v>
      </c>
      <c r="L20" s="24">
        <v>25</v>
      </c>
      <c r="M20" s="24">
        <v>25</v>
      </c>
      <c r="N20" s="24">
        <v>25</v>
      </c>
      <c r="O20" s="19">
        <f>SUM(I20:N20)</f>
        <v>100</v>
      </c>
      <c r="P20" s="25">
        <f>O20/$O$15*50+50</f>
        <v>100</v>
      </c>
      <c r="Q20" s="26">
        <f>P20*$Q$13</f>
        <v>30</v>
      </c>
      <c r="R20" s="19">
        <v>49</v>
      </c>
      <c r="S20" s="25">
        <f>R20/$R$15*50+50</f>
        <v>99</v>
      </c>
      <c r="T20" s="26">
        <f>S20*$T$13</f>
        <v>49.5</v>
      </c>
      <c r="U20" s="25">
        <f>SUM(H20,Q20,T20)</f>
        <v>98.0714285714286</v>
      </c>
      <c r="V20" s="48" t="s">
        <v>27</v>
      </c>
      <c r="W20" s="49" t="s">
        <v>27</v>
      </c>
      <c r="X20" s="49" t="s">
        <v>27</v>
      </c>
      <c r="Y20" s="49"/>
      <c r="Z20" s="49"/>
      <c r="AA20" s="49"/>
      <c r="AB20" s="49"/>
      <c r="AC20" s="49"/>
      <c r="AD20" s="49"/>
      <c r="AE20" s="58"/>
      <c r="AF20" s="59">
        <v>1.5</v>
      </c>
      <c r="AG20" s="60">
        <v>1.5</v>
      </c>
      <c r="AH20" s="60">
        <v>1.5</v>
      </c>
      <c r="AI20" s="64">
        <v>1.5</v>
      </c>
      <c r="AJ20" s="65">
        <f>AE20+AF20+AG20+AH20+AI20</f>
        <v>6</v>
      </c>
    </row>
    <row r="21" spans="1:36">
      <c r="A21" s="22">
        <v>6</v>
      </c>
      <c r="B21" s="23" t="s">
        <v>33</v>
      </c>
      <c r="C21" s="24">
        <v>10</v>
      </c>
      <c r="D21" s="24">
        <v>7.5</v>
      </c>
      <c r="E21" s="24"/>
      <c r="F21" s="19">
        <f>SUM(C21:E21)</f>
        <v>17.5</v>
      </c>
      <c r="G21" s="25">
        <f>F21/$F$15*50+50</f>
        <v>100</v>
      </c>
      <c r="H21" s="26">
        <f>G21*$H$13</f>
        <v>20</v>
      </c>
      <c r="I21" s="19">
        <v>0</v>
      </c>
      <c r="J21" s="24"/>
      <c r="K21" s="24">
        <v>25</v>
      </c>
      <c r="L21" s="24">
        <v>25</v>
      </c>
      <c r="M21" s="24">
        <v>25</v>
      </c>
      <c r="N21" s="24">
        <v>25</v>
      </c>
      <c r="O21" s="19">
        <f>SUM(I21:N21)</f>
        <v>100</v>
      </c>
      <c r="P21" s="25">
        <f>O21/$O$15*50+50</f>
        <v>100</v>
      </c>
      <c r="Q21" s="26">
        <f>P21*$Q$13</f>
        <v>30</v>
      </c>
      <c r="R21" s="19">
        <v>49</v>
      </c>
      <c r="S21" s="25">
        <f>R21/$R$15*50+50</f>
        <v>99</v>
      </c>
      <c r="T21" s="26">
        <f>S21*$T$13</f>
        <v>49.5</v>
      </c>
      <c r="U21" s="25">
        <f>SUM(H21,Q21,T21)</f>
        <v>99.5</v>
      </c>
      <c r="V21" s="48" t="s">
        <v>27</v>
      </c>
      <c r="W21" s="49" t="s">
        <v>27</v>
      </c>
      <c r="X21" s="49" t="s">
        <v>27</v>
      </c>
      <c r="Y21" s="49"/>
      <c r="Z21" s="49"/>
      <c r="AA21" s="49"/>
      <c r="AB21" s="49"/>
      <c r="AC21" s="49"/>
      <c r="AD21" s="49">
        <v>1.5</v>
      </c>
      <c r="AE21" s="60">
        <v>1.5</v>
      </c>
      <c r="AF21" s="59">
        <v>1.5</v>
      </c>
      <c r="AG21" s="60">
        <v>1.5</v>
      </c>
      <c r="AH21" s="60">
        <v>1.5</v>
      </c>
      <c r="AI21" s="64">
        <v>1.5</v>
      </c>
      <c r="AJ21" s="65">
        <f>AE21+AF21+AG21+AH21+AI21</f>
        <v>7.5</v>
      </c>
    </row>
    <row r="22" spans="1:36">
      <c r="A22" s="22">
        <v>7</v>
      </c>
      <c r="B22" s="23" t="s">
        <v>34</v>
      </c>
      <c r="C22" s="24">
        <v>10</v>
      </c>
      <c r="D22" s="24">
        <v>6</v>
      </c>
      <c r="E22" s="24"/>
      <c r="F22" s="19">
        <f>SUM(C22:E22)</f>
        <v>16</v>
      </c>
      <c r="G22" s="25">
        <f>F22/$F$15*50+50</f>
        <v>95.7142857142857</v>
      </c>
      <c r="H22" s="26">
        <f>G22*$H$13</f>
        <v>19.1428571428571</v>
      </c>
      <c r="I22" s="19">
        <v>0</v>
      </c>
      <c r="J22" s="24"/>
      <c r="K22" s="24">
        <v>25</v>
      </c>
      <c r="L22" s="24">
        <v>25</v>
      </c>
      <c r="M22" s="24">
        <v>25</v>
      </c>
      <c r="N22" s="24">
        <v>25</v>
      </c>
      <c r="O22" s="19">
        <f>SUM(I22:N22)</f>
        <v>100</v>
      </c>
      <c r="P22" s="25">
        <f>O22/$O$15*50+50</f>
        <v>100</v>
      </c>
      <c r="Q22" s="26">
        <f>P22*$Q$13</f>
        <v>30</v>
      </c>
      <c r="R22" s="19">
        <v>46</v>
      </c>
      <c r="S22" s="25">
        <f>R22/$R$15*50+50</f>
        <v>96</v>
      </c>
      <c r="T22" s="26">
        <f>S22*$T$13</f>
        <v>48</v>
      </c>
      <c r="U22" s="25">
        <f>SUM(H22,Q22,T22)</f>
        <v>97.1428571428571</v>
      </c>
      <c r="V22" s="48" t="s">
        <v>27</v>
      </c>
      <c r="W22" s="49" t="s">
        <v>27</v>
      </c>
      <c r="X22" s="49" t="s">
        <v>27</v>
      </c>
      <c r="Y22" s="49"/>
      <c r="Z22" s="49"/>
      <c r="AA22" s="49"/>
      <c r="AB22" s="49"/>
      <c r="AC22" s="49"/>
      <c r="AD22" s="49"/>
      <c r="AE22" s="58"/>
      <c r="AF22" s="59">
        <v>1.5</v>
      </c>
      <c r="AG22" s="60">
        <v>1.5</v>
      </c>
      <c r="AH22" s="60">
        <v>1.5</v>
      </c>
      <c r="AI22" s="64">
        <v>1.5</v>
      </c>
      <c r="AJ22" s="65">
        <f>AE22+AF22+AG22+AH22+AI22</f>
        <v>6</v>
      </c>
    </row>
    <row r="23" spans="1:36">
      <c r="A23" s="22">
        <v>8</v>
      </c>
      <c r="B23" s="23" t="s">
        <v>35</v>
      </c>
      <c r="C23" s="24">
        <v>0</v>
      </c>
      <c r="D23" s="24">
        <v>1.5</v>
      </c>
      <c r="E23" s="24"/>
      <c r="F23" s="19">
        <f>SUM(C23:E23)</f>
        <v>1.5</v>
      </c>
      <c r="G23" s="25">
        <f>F23/$F$15*50+50</f>
        <v>54.2857142857143</v>
      </c>
      <c r="H23" s="26">
        <f>G23*$H$13</f>
        <v>10.8571428571429</v>
      </c>
      <c r="I23" s="19">
        <v>0</v>
      </c>
      <c r="J23" s="24"/>
      <c r="K23" s="24">
        <v>25</v>
      </c>
      <c r="L23" s="24">
        <v>25</v>
      </c>
      <c r="M23" s="24">
        <v>25</v>
      </c>
      <c r="N23" s="24">
        <v>25</v>
      </c>
      <c r="O23" s="19">
        <f>SUM(I23:N23)</f>
        <v>100</v>
      </c>
      <c r="P23" s="25">
        <f>O23/$O$15*50+50</f>
        <v>100</v>
      </c>
      <c r="Q23" s="26">
        <f>P23*$Q$13</f>
        <v>30</v>
      </c>
      <c r="R23" s="19">
        <v>25</v>
      </c>
      <c r="S23" s="25">
        <f>R23/$R$15*50+50</f>
        <v>75</v>
      </c>
      <c r="T23" s="26">
        <f>S23*$T$13</f>
        <v>37.5</v>
      </c>
      <c r="U23" s="25">
        <f>SUM(H23,Q23,T23)</f>
        <v>78.3571428571429</v>
      </c>
      <c r="V23" s="48"/>
      <c r="W23" s="49" t="s">
        <v>36</v>
      </c>
      <c r="X23" s="49"/>
      <c r="Y23" s="49"/>
      <c r="Z23" s="49"/>
      <c r="AA23" s="49"/>
      <c r="AB23" s="49"/>
      <c r="AC23" s="49"/>
      <c r="AD23" s="49">
        <v>1.5</v>
      </c>
      <c r="AE23" s="58"/>
      <c r="AF23" s="58"/>
      <c r="AG23" s="58"/>
      <c r="AH23" s="58"/>
      <c r="AI23" s="64">
        <v>1.5</v>
      </c>
      <c r="AJ23" s="65">
        <f>AE23+AF23+AG23+AH23+AI23</f>
        <v>1.5</v>
      </c>
    </row>
    <row r="24" spans="1:36">
      <c r="A24" s="22">
        <v>9</v>
      </c>
      <c r="B24" s="23" t="s">
        <v>37</v>
      </c>
      <c r="C24" s="24">
        <v>10</v>
      </c>
      <c r="D24" s="24">
        <v>7.5</v>
      </c>
      <c r="E24" s="24"/>
      <c r="F24" s="19">
        <f>SUM(C24:E24)</f>
        <v>17.5</v>
      </c>
      <c r="G24" s="25">
        <f>F24/$F$15*50+50</f>
        <v>100</v>
      </c>
      <c r="H24" s="26">
        <f>G24*$H$13</f>
        <v>20</v>
      </c>
      <c r="I24" s="19">
        <v>0</v>
      </c>
      <c r="J24" s="24"/>
      <c r="K24" s="24">
        <v>25</v>
      </c>
      <c r="L24" s="24">
        <v>25</v>
      </c>
      <c r="M24" s="24">
        <v>25</v>
      </c>
      <c r="N24" s="24">
        <v>25</v>
      </c>
      <c r="O24" s="19">
        <f>SUM(I24:N24)</f>
        <v>100</v>
      </c>
      <c r="P24" s="25">
        <f>O24/$O$15*50+50</f>
        <v>100</v>
      </c>
      <c r="Q24" s="26">
        <f>P24*$Q$13</f>
        <v>30</v>
      </c>
      <c r="R24" s="19">
        <v>49</v>
      </c>
      <c r="S24" s="25">
        <f>R24/$R$15*50+50</f>
        <v>99</v>
      </c>
      <c r="T24" s="26">
        <f>S24*$T$13</f>
        <v>49.5</v>
      </c>
      <c r="U24" s="25">
        <f>SUM(H24,Q24,T24)</f>
        <v>99.5</v>
      </c>
      <c r="V24" s="48" t="s">
        <v>29</v>
      </c>
      <c r="W24" s="49" t="s">
        <v>29</v>
      </c>
      <c r="X24" s="49"/>
      <c r="Y24" s="49"/>
      <c r="Z24" s="49"/>
      <c r="AA24" s="49"/>
      <c r="AB24" s="49"/>
      <c r="AC24" s="49"/>
      <c r="AD24" s="49"/>
      <c r="AE24" s="60">
        <v>1.5</v>
      </c>
      <c r="AF24" s="59">
        <v>1.5</v>
      </c>
      <c r="AG24" s="60">
        <v>1.5</v>
      </c>
      <c r="AH24" s="60">
        <v>1.5</v>
      </c>
      <c r="AI24" s="64">
        <v>1.5</v>
      </c>
      <c r="AJ24" s="65">
        <f>AE24+AF24+AG24+AH24+AI24</f>
        <v>7.5</v>
      </c>
    </row>
    <row r="25" spans="1:36">
      <c r="A25" s="22">
        <v>10</v>
      </c>
      <c r="B25" s="23" t="s">
        <v>38</v>
      </c>
      <c r="C25" s="24">
        <v>10</v>
      </c>
      <c r="D25" s="24">
        <v>4.5</v>
      </c>
      <c r="E25" s="24"/>
      <c r="F25" s="19">
        <f>SUM(C25:E25)</f>
        <v>14.5</v>
      </c>
      <c r="G25" s="25">
        <f>F25/$F$15*50+50</f>
        <v>91.4285714285714</v>
      </c>
      <c r="H25" s="26">
        <f>G25*$H$13</f>
        <v>18.2857142857143</v>
      </c>
      <c r="I25" s="19">
        <v>0</v>
      </c>
      <c r="J25" s="24"/>
      <c r="K25" s="24">
        <v>25</v>
      </c>
      <c r="L25" s="24">
        <v>25</v>
      </c>
      <c r="M25" s="24">
        <v>25</v>
      </c>
      <c r="N25" s="24">
        <v>25</v>
      </c>
      <c r="O25" s="19">
        <f>SUM(I25:N25)</f>
        <v>100</v>
      </c>
      <c r="P25" s="25">
        <f>O25/$O$15*50+50</f>
        <v>100</v>
      </c>
      <c r="Q25" s="26">
        <f>P25*$Q$13</f>
        <v>30</v>
      </c>
      <c r="R25" s="19">
        <v>40</v>
      </c>
      <c r="S25" s="25">
        <f>R25/$R$15*50+50</f>
        <v>90</v>
      </c>
      <c r="T25" s="26">
        <f>S25*$T$13</f>
        <v>45</v>
      </c>
      <c r="U25" s="25">
        <f>SUM(H25,Q25,T25)</f>
        <v>93.2857142857143</v>
      </c>
      <c r="V25" s="48"/>
      <c r="W25" s="49" t="s">
        <v>27</v>
      </c>
      <c r="X25" s="49"/>
      <c r="Y25" s="49"/>
      <c r="Z25" s="49"/>
      <c r="AA25" s="49"/>
      <c r="AB25" s="49"/>
      <c r="AC25" s="49"/>
      <c r="AD25" s="49"/>
      <c r="AE25" s="60">
        <v>1.5</v>
      </c>
      <c r="AF25" s="59">
        <v>1.5</v>
      </c>
      <c r="AG25" s="58"/>
      <c r="AH25" s="58"/>
      <c r="AI25" s="64">
        <v>1.5</v>
      </c>
      <c r="AJ25" s="65">
        <f>AE25+AF25+AG25+AH25+AI25</f>
        <v>4.5</v>
      </c>
    </row>
    <row r="26" spans="1:36">
      <c r="A26" s="22">
        <v>11</v>
      </c>
      <c r="B26" s="23" t="s">
        <v>39</v>
      </c>
      <c r="C26" s="24">
        <v>10</v>
      </c>
      <c r="D26" s="24">
        <v>6</v>
      </c>
      <c r="E26" s="24"/>
      <c r="F26" s="19">
        <f>SUM(C26:E26)</f>
        <v>16</v>
      </c>
      <c r="G26" s="25">
        <f>F26/$F$15*50+50</f>
        <v>95.7142857142857</v>
      </c>
      <c r="H26" s="26">
        <f>G26*$H$13</f>
        <v>19.1428571428571</v>
      </c>
      <c r="I26" s="19">
        <v>0</v>
      </c>
      <c r="J26" s="24"/>
      <c r="K26" s="24">
        <v>25</v>
      </c>
      <c r="L26" s="24">
        <v>25</v>
      </c>
      <c r="M26" s="24">
        <v>25</v>
      </c>
      <c r="N26" s="24">
        <v>25</v>
      </c>
      <c r="O26" s="19">
        <f>SUM(I26:N26)</f>
        <v>100</v>
      </c>
      <c r="P26" s="25">
        <f>O26/$O$15*50+50</f>
        <v>100</v>
      </c>
      <c r="Q26" s="26">
        <f>P26*$Q$13</f>
        <v>30</v>
      </c>
      <c r="R26" s="19">
        <v>50</v>
      </c>
      <c r="S26" s="25">
        <f>R26/$R$15*50+50</f>
        <v>100</v>
      </c>
      <c r="T26" s="26">
        <f>S26*$T$13</f>
        <v>50</v>
      </c>
      <c r="U26" s="25">
        <f>SUM(H26,Q26,T26)</f>
        <v>99.1428571428571</v>
      </c>
      <c r="V26" s="48" t="s">
        <v>27</v>
      </c>
      <c r="W26" s="49" t="s">
        <v>27</v>
      </c>
      <c r="X26" s="49"/>
      <c r="Y26" s="49"/>
      <c r="Z26" s="49"/>
      <c r="AA26" s="49"/>
      <c r="AB26" s="49"/>
      <c r="AC26" s="49"/>
      <c r="AD26" s="49"/>
      <c r="AE26" s="60">
        <v>1.5</v>
      </c>
      <c r="AF26" s="59">
        <v>1.5</v>
      </c>
      <c r="AG26" s="60">
        <v>1.5</v>
      </c>
      <c r="AH26" s="58"/>
      <c r="AI26" s="64">
        <v>1.5</v>
      </c>
      <c r="AJ26" s="65">
        <f>AE26+AF26+AG26+AH26+AI26</f>
        <v>6</v>
      </c>
    </row>
    <row r="27" spans="1:36">
      <c r="A27" s="22">
        <v>12</v>
      </c>
      <c r="B27" s="23" t="s">
        <v>40</v>
      </c>
      <c r="C27" s="24">
        <v>10</v>
      </c>
      <c r="D27" s="24">
        <v>6</v>
      </c>
      <c r="E27" s="24"/>
      <c r="F27" s="19">
        <f>SUM(C27:E27)</f>
        <v>16</v>
      </c>
      <c r="G27" s="25">
        <f>F27/$F$15*50+50</f>
        <v>95.7142857142857</v>
      </c>
      <c r="H27" s="26">
        <f>G27*$H$13</f>
        <v>19.1428571428571</v>
      </c>
      <c r="I27" s="19">
        <v>0</v>
      </c>
      <c r="J27" s="24"/>
      <c r="K27" s="24">
        <v>25</v>
      </c>
      <c r="L27" s="24">
        <v>25</v>
      </c>
      <c r="M27" s="24">
        <v>25</v>
      </c>
      <c r="N27" s="24">
        <v>25</v>
      </c>
      <c r="O27" s="19">
        <f>SUM(I27:N27)</f>
        <v>100</v>
      </c>
      <c r="P27" s="25">
        <f>O27/$O$15*50+50</f>
        <v>100</v>
      </c>
      <c r="Q27" s="26">
        <f>P27*$Q$13</f>
        <v>30</v>
      </c>
      <c r="R27" s="19">
        <v>50</v>
      </c>
      <c r="S27" s="25">
        <f>R27/$R$15*50+50</f>
        <v>100</v>
      </c>
      <c r="T27" s="26">
        <f>S27*$T$13</f>
        <v>50</v>
      </c>
      <c r="U27" s="25">
        <f>SUM(H27,Q27,T27)</f>
        <v>99.1428571428571</v>
      </c>
      <c r="V27" s="48" t="s">
        <v>29</v>
      </c>
      <c r="W27" s="49" t="s">
        <v>27</v>
      </c>
      <c r="X27" s="49"/>
      <c r="Y27" s="49"/>
      <c r="Z27" s="49"/>
      <c r="AA27" s="49"/>
      <c r="AB27" s="49"/>
      <c r="AC27" s="49"/>
      <c r="AD27" s="49"/>
      <c r="AE27" s="58"/>
      <c r="AF27" s="59">
        <v>1.5</v>
      </c>
      <c r="AG27" s="60">
        <v>1.5</v>
      </c>
      <c r="AH27" s="60">
        <v>1.5</v>
      </c>
      <c r="AI27" s="64">
        <v>1.5</v>
      </c>
      <c r="AJ27" s="65">
        <f>AE27+AF27+AG27+AH27+AI27</f>
        <v>6</v>
      </c>
    </row>
    <row r="28" spans="1:36">
      <c r="A28" s="22">
        <v>13</v>
      </c>
      <c r="B28" s="23" t="s">
        <v>41</v>
      </c>
      <c r="C28" s="24">
        <v>7</v>
      </c>
      <c r="D28" s="24">
        <v>5.5</v>
      </c>
      <c r="E28" s="24"/>
      <c r="F28" s="19">
        <f>SUM(C28:E28)</f>
        <v>12.5</v>
      </c>
      <c r="G28" s="25">
        <f>F28/$F$15*50+50</f>
        <v>85.7142857142857</v>
      </c>
      <c r="H28" s="26">
        <f>G28*$H$13</f>
        <v>17.1428571428571</v>
      </c>
      <c r="I28" s="19">
        <v>0</v>
      </c>
      <c r="J28" s="24"/>
      <c r="K28" s="24">
        <v>25</v>
      </c>
      <c r="L28" s="24">
        <v>25</v>
      </c>
      <c r="M28" s="24">
        <v>25</v>
      </c>
      <c r="N28" s="24">
        <v>25</v>
      </c>
      <c r="O28" s="19">
        <f>SUM(I28:N28)</f>
        <v>100</v>
      </c>
      <c r="P28" s="25">
        <f>O28/$O$15*50+50</f>
        <v>100</v>
      </c>
      <c r="Q28" s="26">
        <f>P28*$Q$13</f>
        <v>30</v>
      </c>
      <c r="R28" s="19">
        <v>27</v>
      </c>
      <c r="S28" s="25">
        <f>R28/$R$15*50+50</f>
        <v>77</v>
      </c>
      <c r="T28" s="26">
        <f>S28*$T$13</f>
        <v>38.5</v>
      </c>
      <c r="U28" s="25">
        <f>SUM(H28,Q28,T28)</f>
        <v>85.6428571428571</v>
      </c>
      <c r="V28" s="48"/>
      <c r="W28" s="49" t="s">
        <v>36</v>
      </c>
      <c r="X28" s="49"/>
      <c r="Y28" s="49"/>
      <c r="Z28" s="49"/>
      <c r="AA28" s="49"/>
      <c r="AB28" s="49"/>
      <c r="AC28" s="49"/>
      <c r="AD28" s="49"/>
      <c r="AE28" s="58"/>
      <c r="AF28" s="59">
        <v>1.5</v>
      </c>
      <c r="AG28" s="60">
        <v>1.5</v>
      </c>
      <c r="AH28" s="60">
        <v>1</v>
      </c>
      <c r="AI28" s="64">
        <v>1.5</v>
      </c>
      <c r="AJ28" s="65">
        <f>AE28+AF28+AG28+AH28+AI28</f>
        <v>5.5</v>
      </c>
    </row>
    <row r="29" spans="1:36">
      <c r="A29" s="22">
        <v>14</v>
      </c>
      <c r="B29" s="23" t="s">
        <v>42</v>
      </c>
      <c r="C29" s="24">
        <v>0</v>
      </c>
      <c r="D29" s="24">
        <v>0</v>
      </c>
      <c r="E29" s="24"/>
      <c r="F29" s="19">
        <f>SUM(C29:E29)</f>
        <v>0</v>
      </c>
      <c r="G29" s="25">
        <f>F29/$F$15*50+50</f>
        <v>50</v>
      </c>
      <c r="H29" s="26">
        <f>G29*$H$13</f>
        <v>10</v>
      </c>
      <c r="I29" s="19">
        <v>0</v>
      </c>
      <c r="J29" s="24"/>
      <c r="K29" s="24">
        <v>0</v>
      </c>
      <c r="L29" s="24">
        <v>0</v>
      </c>
      <c r="M29" s="24">
        <v>0</v>
      </c>
      <c r="N29" s="24">
        <v>0</v>
      </c>
      <c r="O29" s="19">
        <f>SUM(I29:N29)</f>
        <v>0</v>
      </c>
      <c r="P29" s="25">
        <f>O29/$O$15*50+50</f>
        <v>50</v>
      </c>
      <c r="Q29" s="26">
        <f>P29*$Q$13</f>
        <v>15</v>
      </c>
      <c r="R29" s="19">
        <v>0</v>
      </c>
      <c r="S29" s="25">
        <f>R29/$R$15*50+50</f>
        <v>50</v>
      </c>
      <c r="T29" s="26">
        <f>S29*$T$13</f>
        <v>25</v>
      </c>
      <c r="U29" s="25">
        <f>SUM(H29,Q29,T29)</f>
        <v>50</v>
      </c>
      <c r="V29" s="48" t="s">
        <v>27</v>
      </c>
      <c r="W29" s="49" t="s">
        <v>27</v>
      </c>
      <c r="X29" s="49"/>
      <c r="Y29" s="49"/>
      <c r="Z29" s="49"/>
      <c r="AA29" s="49"/>
      <c r="AB29" s="49"/>
      <c r="AC29" s="49"/>
      <c r="AD29" s="49"/>
      <c r="AE29" s="58"/>
      <c r="AF29" s="58"/>
      <c r="AG29" s="58"/>
      <c r="AH29" s="58"/>
      <c r="AI29" s="66"/>
      <c r="AJ29" s="65">
        <f>AE29+AF29+AG29+AH29+AI29</f>
        <v>0</v>
      </c>
    </row>
    <row r="30" spans="1:36">
      <c r="A30" s="22">
        <v>15</v>
      </c>
      <c r="B30" s="23" t="s">
        <v>43</v>
      </c>
      <c r="C30" s="24">
        <v>10</v>
      </c>
      <c r="D30" s="24">
        <v>7.5</v>
      </c>
      <c r="E30" s="24"/>
      <c r="F30" s="19">
        <f>SUM(C30:E30)</f>
        <v>17.5</v>
      </c>
      <c r="G30" s="25">
        <f>F30/$F$15*50+50</f>
        <v>100</v>
      </c>
      <c r="H30" s="26">
        <f>G30*$H$13</f>
        <v>20</v>
      </c>
      <c r="I30" s="19">
        <v>0</v>
      </c>
      <c r="J30" s="24"/>
      <c r="K30" s="24">
        <v>25</v>
      </c>
      <c r="L30" s="24">
        <v>25</v>
      </c>
      <c r="M30" s="24">
        <v>25</v>
      </c>
      <c r="N30" s="24">
        <v>25</v>
      </c>
      <c r="O30" s="19">
        <f>SUM(I30:N30)</f>
        <v>100</v>
      </c>
      <c r="P30" s="25">
        <f>O30/$O$15*50+50</f>
        <v>100</v>
      </c>
      <c r="Q30" s="26">
        <f>P30*$Q$13</f>
        <v>30</v>
      </c>
      <c r="R30" s="19">
        <v>50</v>
      </c>
      <c r="S30" s="25">
        <f>R30/$R$15*50+50</f>
        <v>100</v>
      </c>
      <c r="T30" s="26">
        <f>S30*$T$13</f>
        <v>50</v>
      </c>
      <c r="U30" s="25">
        <f>SUM(H30,Q30,T30)</f>
        <v>100</v>
      </c>
      <c r="V30" s="48" t="s">
        <v>27</v>
      </c>
      <c r="W30" s="49" t="s">
        <v>27</v>
      </c>
      <c r="X30" s="49" t="s">
        <v>27</v>
      </c>
      <c r="Y30" s="49"/>
      <c r="Z30" s="49"/>
      <c r="AA30" s="49"/>
      <c r="AB30" s="49"/>
      <c r="AC30" s="49"/>
      <c r="AD30" s="49"/>
      <c r="AE30" s="60">
        <v>1.5</v>
      </c>
      <c r="AF30" s="59">
        <v>1.5</v>
      </c>
      <c r="AG30" s="60">
        <v>1.5</v>
      </c>
      <c r="AH30" s="60">
        <v>1.5</v>
      </c>
      <c r="AI30" s="64">
        <v>1.5</v>
      </c>
      <c r="AJ30" s="65">
        <f>AE30+AF30+AG30+AH30+AI30</f>
        <v>7.5</v>
      </c>
    </row>
    <row r="31" spans="1:36">
      <c r="A31" s="22">
        <v>16</v>
      </c>
      <c r="B31" s="23" t="s">
        <v>44</v>
      </c>
      <c r="C31" s="24">
        <v>10</v>
      </c>
      <c r="D31" s="24">
        <v>4.5</v>
      </c>
      <c r="E31" s="24"/>
      <c r="F31" s="19">
        <f>SUM(C31:E31)</f>
        <v>14.5</v>
      </c>
      <c r="G31" s="25">
        <f>F31/$F$15*50+50</f>
        <v>91.4285714285714</v>
      </c>
      <c r="H31" s="26">
        <f>G31*$H$13</f>
        <v>18.2857142857143</v>
      </c>
      <c r="I31" s="19">
        <v>0</v>
      </c>
      <c r="J31" s="24"/>
      <c r="K31" s="24">
        <v>25</v>
      </c>
      <c r="L31" s="24">
        <v>25</v>
      </c>
      <c r="M31" s="24">
        <v>25</v>
      </c>
      <c r="N31" s="24">
        <v>25</v>
      </c>
      <c r="O31" s="19">
        <f>SUM(I31:N31)</f>
        <v>100</v>
      </c>
      <c r="P31" s="25">
        <f>O31/$O$15*50+50</f>
        <v>100</v>
      </c>
      <c r="Q31" s="26">
        <f>P31*$Q$13</f>
        <v>30</v>
      </c>
      <c r="R31" s="19">
        <v>44</v>
      </c>
      <c r="S31" s="25">
        <f>R31/$R$15*50+50</f>
        <v>94</v>
      </c>
      <c r="T31" s="26">
        <f>S31*$T$13</f>
        <v>47</v>
      </c>
      <c r="U31" s="25">
        <f>SUM(H31,Q31,T31)</f>
        <v>95.2857142857143</v>
      </c>
      <c r="V31" s="48"/>
      <c r="W31" s="49" t="s">
        <v>27</v>
      </c>
      <c r="X31" s="49"/>
      <c r="Y31" s="49"/>
      <c r="Z31" s="49"/>
      <c r="AA31" s="49"/>
      <c r="AB31" s="49"/>
      <c r="AC31" s="49"/>
      <c r="AD31" s="49">
        <v>1.5</v>
      </c>
      <c r="AE31" s="58"/>
      <c r="AF31" s="59">
        <v>1.5</v>
      </c>
      <c r="AG31" s="60">
        <v>1.5</v>
      </c>
      <c r="AH31" s="58"/>
      <c r="AI31" s="64">
        <v>1.5</v>
      </c>
      <c r="AJ31" s="65">
        <f>AE31+AF31+AG31+AH31+AI31</f>
        <v>4.5</v>
      </c>
    </row>
    <row r="32" spans="1:36">
      <c r="A32" s="22">
        <v>17</v>
      </c>
      <c r="B32" s="23" t="s">
        <v>45</v>
      </c>
      <c r="C32" s="24">
        <v>9</v>
      </c>
      <c r="D32" s="24">
        <v>7.5</v>
      </c>
      <c r="E32" s="24"/>
      <c r="F32" s="19">
        <f>SUM(C32:E32)</f>
        <v>16.5</v>
      </c>
      <c r="G32" s="25">
        <f>F32/$F$15*50+50</f>
        <v>97.1428571428571</v>
      </c>
      <c r="H32" s="26">
        <f>G32*$H$13</f>
        <v>19.4285714285714</v>
      </c>
      <c r="I32" s="19">
        <v>0</v>
      </c>
      <c r="J32" s="24"/>
      <c r="K32" s="24">
        <v>25</v>
      </c>
      <c r="L32" s="24">
        <v>25</v>
      </c>
      <c r="M32" s="24">
        <v>25</v>
      </c>
      <c r="N32" s="24">
        <v>25</v>
      </c>
      <c r="O32" s="19">
        <f>SUM(I32:N32)</f>
        <v>100</v>
      </c>
      <c r="P32" s="25">
        <f>O32/$O$15*50+50</f>
        <v>100</v>
      </c>
      <c r="Q32" s="26">
        <f>P32*$Q$13</f>
        <v>30</v>
      </c>
      <c r="R32" s="19">
        <v>48</v>
      </c>
      <c r="S32" s="25">
        <f>R32/$R$15*50+50</f>
        <v>98</v>
      </c>
      <c r="T32" s="26">
        <f>S32*$T$13</f>
        <v>49</v>
      </c>
      <c r="U32" s="25">
        <f>SUM(H32,Q32,T32)</f>
        <v>98.4285714285714</v>
      </c>
      <c r="V32" s="48"/>
      <c r="W32" s="49" t="s">
        <v>27</v>
      </c>
      <c r="X32" s="49"/>
      <c r="Y32" s="49"/>
      <c r="Z32" s="49"/>
      <c r="AA32" s="49"/>
      <c r="AB32" s="49"/>
      <c r="AC32" s="49"/>
      <c r="AD32" s="49"/>
      <c r="AE32" s="60">
        <v>1.5</v>
      </c>
      <c r="AF32" s="59">
        <v>1.5</v>
      </c>
      <c r="AG32" s="67">
        <v>1.5</v>
      </c>
      <c r="AH32" s="60">
        <v>1.5</v>
      </c>
      <c r="AI32" s="64">
        <v>1.5</v>
      </c>
      <c r="AJ32" s="65">
        <f>AE32+AF32+AG32+AH32+AI32</f>
        <v>7.5</v>
      </c>
    </row>
    <row r="33" spans="1:36">
      <c r="A33" s="22">
        <v>18</v>
      </c>
      <c r="B33" s="23" t="s">
        <v>46</v>
      </c>
      <c r="C33" s="24">
        <v>0</v>
      </c>
      <c r="D33" s="24">
        <v>1.5</v>
      </c>
      <c r="E33" s="24"/>
      <c r="F33" s="19">
        <f>SUM(C33:E33)</f>
        <v>1.5</v>
      </c>
      <c r="G33" s="25">
        <f>F33/$F$15*50+50</f>
        <v>54.2857142857143</v>
      </c>
      <c r="H33" s="26">
        <f>G33*$H$13</f>
        <v>10.8571428571429</v>
      </c>
      <c r="I33" s="19">
        <v>0</v>
      </c>
      <c r="J33" s="24"/>
      <c r="K33" s="24">
        <v>25</v>
      </c>
      <c r="L33" s="24">
        <v>25</v>
      </c>
      <c r="M33" s="24">
        <v>25</v>
      </c>
      <c r="N33" s="24">
        <v>25</v>
      </c>
      <c r="O33" s="19">
        <f>SUM(I33:N33)</f>
        <v>100</v>
      </c>
      <c r="P33" s="25">
        <f>O33/$O$15*50+50</f>
        <v>100</v>
      </c>
      <c r="Q33" s="26">
        <f>P33*$Q$13</f>
        <v>30</v>
      </c>
      <c r="R33" s="19">
        <v>9</v>
      </c>
      <c r="S33" s="25">
        <f>R33/$R$15*50+50</f>
        <v>59</v>
      </c>
      <c r="T33" s="26">
        <f>S33*$T$13</f>
        <v>29.5</v>
      </c>
      <c r="U33" s="25">
        <f>SUM(H33,Q33,T33)</f>
        <v>70.3571428571429</v>
      </c>
      <c r="V33" s="48" t="s">
        <v>27</v>
      </c>
      <c r="W33" s="49" t="s">
        <v>27</v>
      </c>
      <c r="X33" s="49" t="s">
        <v>27</v>
      </c>
      <c r="Y33" s="49"/>
      <c r="Z33" s="49"/>
      <c r="AA33" s="49"/>
      <c r="AB33" s="49"/>
      <c r="AC33" s="49"/>
      <c r="AD33" s="49"/>
      <c r="AE33" s="58"/>
      <c r="AF33" s="58"/>
      <c r="AG33" s="58"/>
      <c r="AH33" s="58"/>
      <c r="AI33" s="64">
        <v>1.5</v>
      </c>
      <c r="AJ33" s="65">
        <f>AE33+AF33+AG33+AH33+AI33</f>
        <v>1.5</v>
      </c>
    </row>
    <row r="34" spans="1:36">
      <c r="A34" s="22">
        <v>19</v>
      </c>
      <c r="B34" s="23" t="s">
        <v>47</v>
      </c>
      <c r="C34" s="24">
        <v>0</v>
      </c>
      <c r="D34" s="24">
        <v>0</v>
      </c>
      <c r="E34" s="24"/>
      <c r="F34" s="19">
        <f>SUM(C34:E34)</f>
        <v>0</v>
      </c>
      <c r="G34" s="25">
        <f>F34/$F$15*50+50</f>
        <v>50</v>
      </c>
      <c r="H34" s="26">
        <f>G34*$H$13</f>
        <v>10</v>
      </c>
      <c r="I34" s="19">
        <v>0</v>
      </c>
      <c r="J34" s="24"/>
      <c r="K34" s="24">
        <v>0</v>
      </c>
      <c r="L34" s="24">
        <v>0</v>
      </c>
      <c r="M34" s="24">
        <v>0</v>
      </c>
      <c r="N34" s="24">
        <v>0</v>
      </c>
      <c r="O34" s="19">
        <f>SUM(I34:N34)</f>
        <v>0</v>
      </c>
      <c r="P34" s="25">
        <f>O34/$O$15*50+50</f>
        <v>50</v>
      </c>
      <c r="Q34" s="26">
        <f>P34*$Q$13</f>
        <v>15</v>
      </c>
      <c r="R34" s="19">
        <v>0</v>
      </c>
      <c r="S34" s="25">
        <f>R34/$R$15*50+50</f>
        <v>50</v>
      </c>
      <c r="T34" s="26">
        <f>S34*$T$13</f>
        <v>25</v>
      </c>
      <c r="U34" s="25">
        <f>SUM(H34,Q34,T34)</f>
        <v>50</v>
      </c>
      <c r="V34" s="48" t="s">
        <v>27</v>
      </c>
      <c r="W34" s="49" t="s">
        <v>27</v>
      </c>
      <c r="X34" s="49" t="s">
        <v>27</v>
      </c>
      <c r="Z34" s="49"/>
      <c r="AA34" s="49"/>
      <c r="AB34" s="49"/>
      <c r="AC34" s="49"/>
      <c r="AD34" s="49"/>
      <c r="AE34" s="58"/>
      <c r="AF34" s="58"/>
      <c r="AG34" s="58"/>
      <c r="AH34" s="58"/>
      <c r="AI34" s="66"/>
      <c r="AJ34" s="65">
        <f>AE34+AF34+AG34+AH34+AI34</f>
        <v>0</v>
      </c>
    </row>
    <row r="35" spans="1:36">
      <c r="A35" s="22">
        <v>20</v>
      </c>
      <c r="B35" s="23" t="s">
        <v>48</v>
      </c>
      <c r="C35" s="24">
        <v>10</v>
      </c>
      <c r="D35" s="24">
        <v>6</v>
      </c>
      <c r="E35" s="24"/>
      <c r="F35" s="19">
        <f>SUM(C35:E35)</f>
        <v>16</v>
      </c>
      <c r="G35" s="25">
        <f>F35/$F$15*50+50</f>
        <v>95.7142857142857</v>
      </c>
      <c r="H35" s="26">
        <f>G35*$H$13</f>
        <v>19.1428571428571</v>
      </c>
      <c r="I35" s="19">
        <v>0</v>
      </c>
      <c r="J35" s="24"/>
      <c r="K35" s="24">
        <v>25</v>
      </c>
      <c r="L35" s="24">
        <v>25</v>
      </c>
      <c r="M35" s="24">
        <v>25</v>
      </c>
      <c r="N35" s="24">
        <v>25</v>
      </c>
      <c r="O35" s="19">
        <f>SUM(I35:N35)</f>
        <v>100</v>
      </c>
      <c r="P35" s="25">
        <f>O35/$O$15*50+50</f>
        <v>100</v>
      </c>
      <c r="Q35" s="26">
        <f>P35*$Q$13</f>
        <v>30</v>
      </c>
      <c r="R35" s="19">
        <v>43</v>
      </c>
      <c r="S35" s="25">
        <f>R35/$R$15*50+50</f>
        <v>93</v>
      </c>
      <c r="T35" s="26">
        <f>S35*$T$13</f>
        <v>46.5</v>
      </c>
      <c r="U35" s="25">
        <f>SUM(H35,Q35,T35)</f>
        <v>95.6428571428571</v>
      </c>
      <c r="V35" s="48" t="s">
        <v>27</v>
      </c>
      <c r="W35" s="49" t="s">
        <v>27</v>
      </c>
      <c r="X35" s="49" t="s">
        <v>27</v>
      </c>
      <c r="Y35" s="49"/>
      <c r="Z35" s="49"/>
      <c r="AA35" s="49"/>
      <c r="AB35" s="49"/>
      <c r="AC35" s="49"/>
      <c r="AD35" s="49"/>
      <c r="AE35" s="60">
        <v>1.5</v>
      </c>
      <c r="AF35" s="59">
        <v>1.5</v>
      </c>
      <c r="AG35" s="58"/>
      <c r="AH35" s="59">
        <v>1.5</v>
      </c>
      <c r="AI35" s="64">
        <v>1.5</v>
      </c>
      <c r="AJ35" s="65">
        <f>AE35+AF35+AG35+AH35+AI35</f>
        <v>6</v>
      </c>
    </row>
    <row r="36" spans="1:36">
      <c r="A36" s="22">
        <v>21</v>
      </c>
      <c r="B36" s="23" t="s">
        <v>49</v>
      </c>
      <c r="C36" s="24">
        <v>8</v>
      </c>
      <c r="D36" s="24">
        <v>4.5</v>
      </c>
      <c r="E36" s="24"/>
      <c r="F36" s="19">
        <f>SUM(C36:E36)</f>
        <v>12.5</v>
      </c>
      <c r="G36" s="25">
        <f>F36/$F$15*50+50</f>
        <v>85.7142857142857</v>
      </c>
      <c r="H36" s="26">
        <f>G36*$H$13</f>
        <v>17.1428571428571</v>
      </c>
      <c r="I36" s="19">
        <v>0</v>
      </c>
      <c r="J36" s="24"/>
      <c r="K36" s="24">
        <v>25</v>
      </c>
      <c r="L36" s="24">
        <v>25</v>
      </c>
      <c r="M36" s="24">
        <v>25</v>
      </c>
      <c r="N36" s="24">
        <v>25</v>
      </c>
      <c r="O36" s="19">
        <f>SUM(I36:N36)</f>
        <v>100</v>
      </c>
      <c r="P36" s="25">
        <f>O36/$O$15*50+50</f>
        <v>100</v>
      </c>
      <c r="Q36" s="26">
        <f>P36*$Q$13</f>
        <v>30</v>
      </c>
      <c r="R36" s="19">
        <v>27</v>
      </c>
      <c r="S36" s="25">
        <f>R36/$R$15*50+50</f>
        <v>77</v>
      </c>
      <c r="T36" s="26">
        <f>S36*$T$13</f>
        <v>38.5</v>
      </c>
      <c r="U36" s="25">
        <f>SUM(H36,Q36,T36)</f>
        <v>85.6428571428571</v>
      </c>
      <c r="V36" s="48"/>
      <c r="W36" s="49" t="s">
        <v>27</v>
      </c>
      <c r="X36" s="49"/>
      <c r="Y36" s="49"/>
      <c r="Z36" s="49"/>
      <c r="AA36" s="49"/>
      <c r="AB36" s="49"/>
      <c r="AC36" s="49"/>
      <c r="AD36" s="49"/>
      <c r="AE36" s="60">
        <v>1.5</v>
      </c>
      <c r="AF36" s="59">
        <v>1.5</v>
      </c>
      <c r="AG36" s="58"/>
      <c r="AH36" s="58"/>
      <c r="AI36" s="64">
        <v>1.5</v>
      </c>
      <c r="AJ36" s="65">
        <f>AE36+AF36+AG36+AH36+AI36</f>
        <v>4.5</v>
      </c>
    </row>
    <row r="37" spans="1:36">
      <c r="A37" s="22">
        <v>22</v>
      </c>
      <c r="B37" s="23" t="s">
        <v>50</v>
      </c>
      <c r="C37" s="24">
        <v>10</v>
      </c>
      <c r="D37" s="24">
        <v>4.5</v>
      </c>
      <c r="E37" s="24"/>
      <c r="F37" s="19">
        <f>SUM(C37:E37)</f>
        <v>14.5</v>
      </c>
      <c r="G37" s="25">
        <f>F37/$F$15*50+50</f>
        <v>91.4285714285714</v>
      </c>
      <c r="H37" s="26">
        <f>G37*$H$13</f>
        <v>18.2857142857143</v>
      </c>
      <c r="I37" s="19">
        <v>0</v>
      </c>
      <c r="J37" s="24"/>
      <c r="K37" s="24">
        <v>25</v>
      </c>
      <c r="L37" s="24">
        <v>25</v>
      </c>
      <c r="M37" s="24">
        <v>25</v>
      </c>
      <c r="N37" s="24">
        <v>25</v>
      </c>
      <c r="O37" s="19">
        <f>SUM(I37:N37)</f>
        <v>100</v>
      </c>
      <c r="P37" s="25">
        <f>O37/$O$15*50+50</f>
        <v>100</v>
      </c>
      <c r="Q37" s="26">
        <f>P37*$Q$13</f>
        <v>30</v>
      </c>
      <c r="R37" s="19">
        <v>41</v>
      </c>
      <c r="S37" s="25">
        <f>R37/$R$15*50+50</f>
        <v>91</v>
      </c>
      <c r="T37" s="26">
        <f>S37*$T$13</f>
        <v>45.5</v>
      </c>
      <c r="U37" s="25">
        <f>SUM(H37,Q37,T37)</f>
        <v>93.7857142857143</v>
      </c>
      <c r="V37" s="48"/>
      <c r="W37" s="49"/>
      <c r="X37" s="49" t="s">
        <v>27</v>
      </c>
      <c r="Y37" s="49"/>
      <c r="Z37" s="49"/>
      <c r="AA37" s="49"/>
      <c r="AB37" s="49"/>
      <c r="AC37" s="49"/>
      <c r="AD37" s="49"/>
      <c r="AE37" s="58"/>
      <c r="AF37" s="59">
        <v>1.5</v>
      </c>
      <c r="AG37" s="60">
        <v>1.5</v>
      </c>
      <c r="AH37" s="58"/>
      <c r="AI37" s="64">
        <v>1.5</v>
      </c>
      <c r="AJ37" s="65">
        <f>AE37+AF37+AG37+AH37+AI37</f>
        <v>4.5</v>
      </c>
    </row>
    <row r="38" spans="1:36">
      <c r="A38" s="22">
        <v>23</v>
      </c>
      <c r="B38" s="23" t="s">
        <v>51</v>
      </c>
      <c r="C38" s="24">
        <v>10</v>
      </c>
      <c r="D38" s="24">
        <v>6</v>
      </c>
      <c r="E38" s="24"/>
      <c r="F38" s="19">
        <f>SUM(C38:E38)</f>
        <v>16</v>
      </c>
      <c r="G38" s="25">
        <f>F38/$F$15*50+50</f>
        <v>95.7142857142857</v>
      </c>
      <c r="H38" s="26">
        <f>G38*$H$13</f>
        <v>19.1428571428571</v>
      </c>
      <c r="I38" s="19">
        <v>0</v>
      </c>
      <c r="J38" s="24"/>
      <c r="K38" s="24">
        <v>25</v>
      </c>
      <c r="L38" s="24">
        <v>25</v>
      </c>
      <c r="M38" s="24">
        <v>25</v>
      </c>
      <c r="N38" s="24">
        <v>25</v>
      </c>
      <c r="O38" s="19">
        <f>SUM(I38:N38)</f>
        <v>100</v>
      </c>
      <c r="P38" s="25">
        <f>O38/$O$15*50+50</f>
        <v>100</v>
      </c>
      <c r="Q38" s="26">
        <f>P38*$Q$13</f>
        <v>30</v>
      </c>
      <c r="R38" s="19">
        <v>27</v>
      </c>
      <c r="S38" s="25">
        <f>R38/$R$15*50+50</f>
        <v>77</v>
      </c>
      <c r="T38" s="26">
        <f>S38*$T$13</f>
        <v>38.5</v>
      </c>
      <c r="U38" s="25">
        <f>SUM(H38,Q38,T38)</f>
        <v>87.6428571428571</v>
      </c>
      <c r="V38" s="48" t="s">
        <v>29</v>
      </c>
      <c r="W38" s="49" t="s">
        <v>27</v>
      </c>
      <c r="X38" s="49" t="s">
        <v>27</v>
      </c>
      <c r="Y38" s="49"/>
      <c r="Z38" s="49"/>
      <c r="AA38" s="49"/>
      <c r="AB38" s="49"/>
      <c r="AC38" s="49"/>
      <c r="AD38" s="49"/>
      <c r="AE38" s="58"/>
      <c r="AF38" s="59">
        <v>1.5</v>
      </c>
      <c r="AG38" s="60">
        <v>1.5</v>
      </c>
      <c r="AH38" s="60">
        <v>1.5</v>
      </c>
      <c r="AI38" s="64">
        <v>1.5</v>
      </c>
      <c r="AJ38" s="65">
        <f>AE38+AF38+AG38+AH38+AI38</f>
        <v>6</v>
      </c>
    </row>
    <row r="39" spans="1:36">
      <c r="A39" s="22">
        <v>24</v>
      </c>
      <c r="B39" s="23" t="s">
        <v>52</v>
      </c>
      <c r="C39" s="24">
        <v>10</v>
      </c>
      <c r="D39" s="24">
        <v>6</v>
      </c>
      <c r="E39" s="24"/>
      <c r="F39" s="19">
        <f>SUM(C39:E39)</f>
        <v>16</v>
      </c>
      <c r="G39" s="25">
        <f>F39/$F$15*50+50</f>
        <v>95.7142857142857</v>
      </c>
      <c r="H39" s="26">
        <f>G39*$H$13</f>
        <v>19.1428571428571</v>
      </c>
      <c r="I39" s="19">
        <v>0</v>
      </c>
      <c r="J39" s="24"/>
      <c r="K39" s="24">
        <v>25</v>
      </c>
      <c r="L39" s="24">
        <v>25</v>
      </c>
      <c r="M39" s="24">
        <v>25</v>
      </c>
      <c r="N39" s="24">
        <v>25</v>
      </c>
      <c r="O39" s="19">
        <f>SUM(I39:N39)</f>
        <v>100</v>
      </c>
      <c r="P39" s="25">
        <f>O39/$O$15*50+50</f>
        <v>100</v>
      </c>
      <c r="Q39" s="26">
        <f>P39*$Q$13</f>
        <v>30</v>
      </c>
      <c r="R39" s="19">
        <v>49</v>
      </c>
      <c r="S39" s="25">
        <f>R39/$R$15*50+50</f>
        <v>99</v>
      </c>
      <c r="T39" s="26">
        <f>S39*$T$13</f>
        <v>49.5</v>
      </c>
      <c r="U39" s="25">
        <f>SUM(H39,Q39,T39)</f>
        <v>98.6428571428571</v>
      </c>
      <c r="V39" s="48" t="s">
        <v>29</v>
      </c>
      <c r="W39" s="49"/>
      <c r="X39" s="49"/>
      <c r="Y39" s="49"/>
      <c r="Z39" s="49"/>
      <c r="AA39" s="49"/>
      <c r="AB39" s="49"/>
      <c r="AC39" s="49"/>
      <c r="AD39" s="49"/>
      <c r="AE39" s="58"/>
      <c r="AF39" s="59">
        <v>1.5</v>
      </c>
      <c r="AG39" s="60">
        <v>1.5</v>
      </c>
      <c r="AH39" s="60">
        <v>1.5</v>
      </c>
      <c r="AI39" s="64">
        <v>1.5</v>
      </c>
      <c r="AJ39" s="65">
        <f>AE39+AF39+AG39+AH39+AI39</f>
        <v>6</v>
      </c>
    </row>
    <row r="40" spans="1:36">
      <c r="A40" s="22">
        <v>25</v>
      </c>
      <c r="B40" s="23" t="s">
        <v>53</v>
      </c>
      <c r="C40" s="24">
        <v>10</v>
      </c>
      <c r="D40" s="24">
        <v>5.5</v>
      </c>
      <c r="E40" s="24"/>
      <c r="F40" s="19">
        <f>SUM(C40:E40)</f>
        <v>15.5</v>
      </c>
      <c r="G40" s="25">
        <f>F40/$F$15*50+50</f>
        <v>94.2857142857143</v>
      </c>
      <c r="H40" s="26">
        <f>G40*$H$13</f>
        <v>18.8571428571429</v>
      </c>
      <c r="I40" s="19">
        <v>0</v>
      </c>
      <c r="J40" s="24"/>
      <c r="K40" s="24">
        <v>25</v>
      </c>
      <c r="L40" s="24">
        <v>25</v>
      </c>
      <c r="M40" s="24">
        <v>25</v>
      </c>
      <c r="N40" s="24">
        <v>25</v>
      </c>
      <c r="O40" s="19">
        <f>SUM(I40:N40)</f>
        <v>100</v>
      </c>
      <c r="P40" s="25">
        <f>O40/$O$15*50+50</f>
        <v>100</v>
      </c>
      <c r="Q40" s="26">
        <f>P40*$Q$13</f>
        <v>30</v>
      </c>
      <c r="R40" s="19">
        <v>47</v>
      </c>
      <c r="S40" s="25">
        <f>R40/$R$15*50+50</f>
        <v>97</v>
      </c>
      <c r="T40" s="26">
        <f>S40*$T$13</f>
        <v>48.5</v>
      </c>
      <c r="U40" s="25">
        <f>SUM(H40,Q40,T40)</f>
        <v>97.3571428571429</v>
      </c>
      <c r="V40" s="48" t="s">
        <v>27</v>
      </c>
      <c r="W40" s="49" t="s">
        <v>27</v>
      </c>
      <c r="X40" s="49" t="s">
        <v>27</v>
      </c>
      <c r="Y40" s="49"/>
      <c r="Z40" s="49"/>
      <c r="AA40" s="49"/>
      <c r="AB40" s="49"/>
      <c r="AC40" s="49"/>
      <c r="AD40" s="49"/>
      <c r="AE40" s="58"/>
      <c r="AF40" s="59">
        <v>1.5</v>
      </c>
      <c r="AG40" s="60">
        <v>1</v>
      </c>
      <c r="AH40" s="60">
        <v>1.5</v>
      </c>
      <c r="AI40" s="64">
        <v>1.5</v>
      </c>
      <c r="AJ40" s="65">
        <f>AE40+AF40+AG40+AH40+AI40</f>
        <v>5.5</v>
      </c>
    </row>
    <row r="41" spans="1:36">
      <c r="A41" s="22">
        <v>26</v>
      </c>
      <c r="B41" s="23" t="s">
        <v>54</v>
      </c>
      <c r="C41" s="24">
        <v>8</v>
      </c>
      <c r="D41" s="24">
        <v>7.5</v>
      </c>
      <c r="E41" s="24"/>
      <c r="F41" s="19">
        <f>SUM(C41:E41)</f>
        <v>15.5</v>
      </c>
      <c r="G41" s="25">
        <f>F41/$F$15*50+50</f>
        <v>94.2857142857143</v>
      </c>
      <c r="H41" s="26">
        <f>G41*$H$13</f>
        <v>18.8571428571429</v>
      </c>
      <c r="I41" s="19">
        <v>0</v>
      </c>
      <c r="J41" s="24"/>
      <c r="K41" s="24">
        <v>25</v>
      </c>
      <c r="L41" s="24">
        <v>25</v>
      </c>
      <c r="M41" s="24">
        <v>25</v>
      </c>
      <c r="N41" s="24">
        <v>25</v>
      </c>
      <c r="O41" s="19">
        <f>SUM(I41:N41)</f>
        <v>100</v>
      </c>
      <c r="P41" s="25">
        <f>O41/$O$15*50+50</f>
        <v>100</v>
      </c>
      <c r="Q41" s="26">
        <f>P41*$Q$13</f>
        <v>30</v>
      </c>
      <c r="R41" s="19">
        <v>48</v>
      </c>
      <c r="S41" s="25">
        <f>R41/$R$15*50+50</f>
        <v>98</v>
      </c>
      <c r="T41" s="26">
        <f>S41*$T$13</f>
        <v>49</v>
      </c>
      <c r="U41" s="25">
        <f>SUM(H41,Q41,T41)</f>
        <v>97.8571428571429</v>
      </c>
      <c r="V41" s="48" t="s">
        <v>27</v>
      </c>
      <c r="W41" s="49" t="s">
        <v>27</v>
      </c>
      <c r="X41" s="49" t="s">
        <v>27</v>
      </c>
      <c r="Y41" s="49"/>
      <c r="Z41" s="49"/>
      <c r="AA41" s="49"/>
      <c r="AB41" s="49"/>
      <c r="AC41" s="49"/>
      <c r="AD41" s="49"/>
      <c r="AE41" s="60">
        <v>1.5</v>
      </c>
      <c r="AF41" s="59">
        <v>1.5</v>
      </c>
      <c r="AG41" s="60">
        <v>1.5</v>
      </c>
      <c r="AH41" s="60">
        <v>1.5</v>
      </c>
      <c r="AI41" s="64">
        <v>1.5</v>
      </c>
      <c r="AJ41" s="65">
        <f>AE41+AF41+AG41+AH41+AI41</f>
        <v>7.5</v>
      </c>
    </row>
    <row r="42" spans="1:36">
      <c r="A42" s="22">
        <v>27</v>
      </c>
      <c r="B42" s="23" t="s">
        <v>55</v>
      </c>
      <c r="C42" s="24">
        <v>9</v>
      </c>
      <c r="D42" s="24">
        <v>4.5</v>
      </c>
      <c r="E42" s="24"/>
      <c r="F42" s="19">
        <f>SUM(C42:E42)</f>
        <v>13.5</v>
      </c>
      <c r="G42" s="25">
        <f>F42/$F$15*50+50</f>
        <v>88.5714285714286</v>
      </c>
      <c r="H42" s="26">
        <f>G42*$H$13</f>
        <v>17.7142857142857</v>
      </c>
      <c r="I42" s="19">
        <v>0</v>
      </c>
      <c r="J42" s="24"/>
      <c r="K42" s="24">
        <v>25</v>
      </c>
      <c r="L42" s="24">
        <v>25</v>
      </c>
      <c r="M42" s="24">
        <v>25</v>
      </c>
      <c r="N42" s="24">
        <v>25</v>
      </c>
      <c r="O42" s="19">
        <f>SUM(I42:N42)</f>
        <v>100</v>
      </c>
      <c r="P42" s="25">
        <f>O42/$O$15*50+50</f>
        <v>100</v>
      </c>
      <c r="Q42" s="26">
        <f>P42*$Q$13</f>
        <v>30</v>
      </c>
      <c r="R42" s="19">
        <v>31</v>
      </c>
      <c r="S42" s="25">
        <f>R42/$R$15*50+50</f>
        <v>81</v>
      </c>
      <c r="T42" s="26">
        <f>S42*$T$13</f>
        <v>40.5</v>
      </c>
      <c r="U42" s="25">
        <f>SUM(H42,Q42,T42)</f>
        <v>88.2142857142857</v>
      </c>
      <c r="V42" s="48" t="s">
        <v>27</v>
      </c>
      <c r="W42" s="49" t="s">
        <v>27</v>
      </c>
      <c r="X42" s="49" t="s">
        <v>27</v>
      </c>
      <c r="Y42" s="49"/>
      <c r="Z42" s="49"/>
      <c r="AA42" s="49"/>
      <c r="AB42" s="49"/>
      <c r="AC42" s="49"/>
      <c r="AD42" s="49"/>
      <c r="AE42" s="58"/>
      <c r="AF42" s="59">
        <v>1.5</v>
      </c>
      <c r="AG42" s="60">
        <v>1.5</v>
      </c>
      <c r="AH42" s="58"/>
      <c r="AI42" s="64">
        <v>1.5</v>
      </c>
      <c r="AJ42" s="65">
        <f>AE42+AF42+AG42+AH42+AI42</f>
        <v>4.5</v>
      </c>
    </row>
    <row r="43" spans="1:36">
      <c r="A43" s="22">
        <v>28</v>
      </c>
      <c r="B43" s="23" t="s">
        <v>56</v>
      </c>
      <c r="C43" s="24">
        <v>10</v>
      </c>
      <c r="D43" s="24">
        <v>4.5</v>
      </c>
      <c r="E43" s="24"/>
      <c r="F43" s="19">
        <f>SUM(C43:E43)</f>
        <v>14.5</v>
      </c>
      <c r="G43" s="25">
        <f>F43/$F$15*50+50</f>
        <v>91.4285714285714</v>
      </c>
      <c r="H43" s="26">
        <f>G43*$H$13</f>
        <v>18.2857142857143</v>
      </c>
      <c r="I43" s="19">
        <v>0</v>
      </c>
      <c r="J43" s="24"/>
      <c r="K43" s="24">
        <v>25</v>
      </c>
      <c r="L43" s="24">
        <v>25</v>
      </c>
      <c r="M43" s="24">
        <v>25</v>
      </c>
      <c r="N43" s="24">
        <v>25</v>
      </c>
      <c r="O43" s="19">
        <f>SUM(I43:N43)</f>
        <v>100</v>
      </c>
      <c r="P43" s="25">
        <f>O43/$O$15*50+50</f>
        <v>100</v>
      </c>
      <c r="Q43" s="26">
        <f>P43*$Q$13</f>
        <v>30</v>
      </c>
      <c r="R43" s="19"/>
      <c r="S43" s="25">
        <f>R43/$R$15*50+50</f>
        <v>50</v>
      </c>
      <c r="T43" s="26">
        <f>S43*$T$13</f>
        <v>25</v>
      </c>
      <c r="U43" s="25">
        <f>SUM(H43,Q43,T43)</f>
        <v>73.2857142857143</v>
      </c>
      <c r="V43" s="48" t="s">
        <v>27</v>
      </c>
      <c r="W43" s="49" t="s">
        <v>27</v>
      </c>
      <c r="X43" s="49" t="s">
        <v>27</v>
      </c>
      <c r="Y43" s="49"/>
      <c r="Z43" s="49"/>
      <c r="AA43" s="49"/>
      <c r="AB43" s="49"/>
      <c r="AC43" s="49"/>
      <c r="AD43" s="49">
        <v>1.5</v>
      </c>
      <c r="AE43" s="58"/>
      <c r="AF43" s="59">
        <v>1.5</v>
      </c>
      <c r="AG43" s="60">
        <v>1.5</v>
      </c>
      <c r="AH43" s="60">
        <v>1.5</v>
      </c>
      <c r="AI43" s="66"/>
      <c r="AJ43" s="65">
        <f>AE43+AF43+AG43+AH43+AI43</f>
        <v>4.5</v>
      </c>
    </row>
    <row r="44" spans="1:36">
      <c r="A44" s="22">
        <v>29</v>
      </c>
      <c r="B44" s="23" t="s">
        <v>57</v>
      </c>
      <c r="C44" s="24">
        <v>2</v>
      </c>
      <c r="D44" s="24">
        <v>6</v>
      </c>
      <c r="E44" s="24"/>
      <c r="F44" s="19">
        <f>SUM(C44:E44)</f>
        <v>8</v>
      </c>
      <c r="G44" s="25">
        <f>F44/$F$15*50+50</f>
        <v>72.8571428571429</v>
      </c>
      <c r="H44" s="26">
        <f>G44*$H$13</f>
        <v>14.5714285714286</v>
      </c>
      <c r="I44" s="19">
        <v>0</v>
      </c>
      <c r="J44" s="24"/>
      <c r="K44" s="24">
        <v>25</v>
      </c>
      <c r="L44" s="24">
        <v>25</v>
      </c>
      <c r="M44" s="24">
        <v>25</v>
      </c>
      <c r="N44" s="24">
        <v>25</v>
      </c>
      <c r="O44" s="19">
        <f>SUM(I44:N44)</f>
        <v>100</v>
      </c>
      <c r="P44" s="25">
        <f>O44/$O$15*50+50</f>
        <v>100</v>
      </c>
      <c r="Q44" s="26">
        <f>P44*$Q$13</f>
        <v>30</v>
      </c>
      <c r="R44" s="19">
        <v>42</v>
      </c>
      <c r="S44" s="25">
        <f>R44/$R$15*50+50</f>
        <v>92</v>
      </c>
      <c r="T44" s="26">
        <f>S44*$T$13</f>
        <v>46</v>
      </c>
      <c r="U44" s="25">
        <f>SUM(H44,Q44,T44)</f>
        <v>90.5714285714286</v>
      </c>
      <c r="V44" s="48" t="s">
        <v>27</v>
      </c>
      <c r="W44" s="49" t="s">
        <v>27</v>
      </c>
      <c r="X44" s="49" t="s">
        <v>27</v>
      </c>
      <c r="Y44" s="49"/>
      <c r="Z44" s="49"/>
      <c r="AA44" s="49"/>
      <c r="AB44" s="49"/>
      <c r="AC44" s="49"/>
      <c r="AD44" s="49">
        <v>1.5</v>
      </c>
      <c r="AE44" s="60">
        <v>1.5</v>
      </c>
      <c r="AF44" s="59">
        <v>1.5</v>
      </c>
      <c r="AG44" s="58"/>
      <c r="AH44" s="60">
        <v>1.5</v>
      </c>
      <c r="AI44" s="64">
        <v>1.5</v>
      </c>
      <c r="AJ44" s="65">
        <f>AE44+AF44+AG44+AH44+AI44</f>
        <v>6</v>
      </c>
    </row>
    <row r="45" spans="1:36">
      <c r="A45" s="22">
        <v>30</v>
      </c>
      <c r="B45" s="23" t="s">
        <v>58</v>
      </c>
      <c r="C45" s="24">
        <v>9</v>
      </c>
      <c r="D45" s="24">
        <v>3</v>
      </c>
      <c r="E45" s="24"/>
      <c r="F45" s="19">
        <f>SUM(C45:E45)</f>
        <v>12</v>
      </c>
      <c r="G45" s="25">
        <f>F45/$F$15*50+50</f>
        <v>84.2857142857143</v>
      </c>
      <c r="H45" s="26">
        <f>G45*$H$13</f>
        <v>16.8571428571429</v>
      </c>
      <c r="I45" s="19">
        <v>0</v>
      </c>
      <c r="J45" s="24"/>
      <c r="K45" s="24">
        <v>25</v>
      </c>
      <c r="L45" s="24">
        <v>25</v>
      </c>
      <c r="M45" s="24">
        <v>25</v>
      </c>
      <c r="N45" s="24">
        <v>25</v>
      </c>
      <c r="O45" s="19">
        <f>SUM(I45:N45)</f>
        <v>100</v>
      </c>
      <c r="P45" s="25">
        <f>O45/$O$15*50+50</f>
        <v>100</v>
      </c>
      <c r="Q45" s="26">
        <f>P45*$Q$13</f>
        <v>30</v>
      </c>
      <c r="R45" s="19">
        <v>45</v>
      </c>
      <c r="S45" s="25">
        <f>R45/$R$15*50+50</f>
        <v>95</v>
      </c>
      <c r="T45" s="26">
        <f>S45*$T$13</f>
        <v>47.5</v>
      </c>
      <c r="U45" s="25">
        <f>SUM(H45,Q45,T45)</f>
        <v>94.3571428571429</v>
      </c>
      <c r="V45" s="48" t="s">
        <v>27</v>
      </c>
      <c r="W45" s="49" t="s">
        <v>27</v>
      </c>
      <c r="X45" s="49" t="s">
        <v>27</v>
      </c>
      <c r="Y45" s="49"/>
      <c r="Z45" s="49"/>
      <c r="AA45" s="49"/>
      <c r="AB45" s="49"/>
      <c r="AC45" s="49"/>
      <c r="AD45" s="49"/>
      <c r="AE45" s="58"/>
      <c r="AF45" s="58"/>
      <c r="AG45" s="58"/>
      <c r="AH45" s="60">
        <v>1.5</v>
      </c>
      <c r="AI45" s="64">
        <v>1.5</v>
      </c>
      <c r="AJ45" s="65">
        <f>AE45+AF45+AG45+AH45+AI45</f>
        <v>3</v>
      </c>
    </row>
    <row r="46" spans="1:36">
      <c r="A46" s="22">
        <v>31</v>
      </c>
      <c r="B46" s="23" t="s">
        <v>59</v>
      </c>
      <c r="C46" s="24">
        <v>10</v>
      </c>
      <c r="D46" s="24">
        <v>3</v>
      </c>
      <c r="E46" s="24"/>
      <c r="F46" s="19">
        <f>SUM(C46:E46)</f>
        <v>13</v>
      </c>
      <c r="G46" s="25">
        <f>F46/$F$15*50+50</f>
        <v>87.1428571428571</v>
      </c>
      <c r="H46" s="26">
        <f>G46*$H$13</f>
        <v>17.4285714285714</v>
      </c>
      <c r="I46" s="19">
        <v>0</v>
      </c>
      <c r="J46" s="24"/>
      <c r="K46" s="24">
        <v>25</v>
      </c>
      <c r="L46" s="24">
        <v>25</v>
      </c>
      <c r="M46" s="24">
        <v>25</v>
      </c>
      <c r="N46" s="24">
        <v>25</v>
      </c>
      <c r="O46" s="19">
        <f>SUM(I46:N46)</f>
        <v>100</v>
      </c>
      <c r="P46" s="25">
        <f>O46/$O$15*50+50</f>
        <v>100</v>
      </c>
      <c r="Q46" s="26">
        <f>P46*$Q$13</f>
        <v>30</v>
      </c>
      <c r="R46" s="19">
        <v>28</v>
      </c>
      <c r="S46" s="25">
        <f>R46/$R$15*50+50</f>
        <v>78</v>
      </c>
      <c r="T46" s="26">
        <f>S46*$T$13</f>
        <v>39</v>
      </c>
      <c r="U46" s="25">
        <f>SUM(H46,Q46,T46)</f>
        <v>86.4285714285714</v>
      </c>
      <c r="V46" s="48" t="s">
        <v>29</v>
      </c>
      <c r="W46" s="49" t="s">
        <v>27</v>
      </c>
      <c r="X46" s="49"/>
      <c r="Y46" s="49"/>
      <c r="AA46" s="49"/>
      <c r="AB46" s="49"/>
      <c r="AC46" s="49"/>
      <c r="AD46" s="49"/>
      <c r="AE46" s="58"/>
      <c r="AF46" s="59">
        <v>1.5</v>
      </c>
      <c r="AG46" s="58"/>
      <c r="AH46" s="58"/>
      <c r="AI46" s="64">
        <v>1.5</v>
      </c>
      <c r="AJ46" s="65">
        <f>AE46+AF46+AG46+AH46+AI46</f>
        <v>3</v>
      </c>
    </row>
    <row r="47" spans="1:36">
      <c r="A47" s="22">
        <v>32</v>
      </c>
      <c r="B47" s="23" t="s">
        <v>60</v>
      </c>
      <c r="C47" s="24">
        <v>0</v>
      </c>
      <c r="D47" s="24">
        <v>2.5</v>
      </c>
      <c r="E47" s="24"/>
      <c r="F47" s="19">
        <f>SUM(C47:E47)</f>
        <v>2.5</v>
      </c>
      <c r="G47" s="25">
        <f>F47/$F$15*50+50</f>
        <v>57.1428571428571</v>
      </c>
      <c r="H47" s="26">
        <f>G47*$H$13</f>
        <v>11.4285714285714</v>
      </c>
      <c r="I47" s="19">
        <v>0</v>
      </c>
      <c r="J47" s="24"/>
      <c r="K47" s="24">
        <v>25</v>
      </c>
      <c r="L47" s="24">
        <v>25</v>
      </c>
      <c r="M47" s="24">
        <v>25</v>
      </c>
      <c r="N47" s="24">
        <v>25</v>
      </c>
      <c r="O47" s="19">
        <f>SUM(I47:N47)</f>
        <v>100</v>
      </c>
      <c r="P47" s="25">
        <f>O47/$O$15*50+50</f>
        <v>100</v>
      </c>
      <c r="Q47" s="26">
        <f>P47*$Q$13</f>
        <v>30</v>
      </c>
      <c r="R47" s="19">
        <v>24</v>
      </c>
      <c r="S47" s="25">
        <f>R47/$R$15*50+50</f>
        <v>74</v>
      </c>
      <c r="T47" s="26">
        <f>S47*$T$13</f>
        <v>37</v>
      </c>
      <c r="U47" s="25">
        <f>SUM(H47,Q47,T47)</f>
        <v>78.4285714285714</v>
      </c>
      <c r="V47" s="48"/>
      <c r="W47" s="49"/>
      <c r="X47" s="49"/>
      <c r="Y47" s="49"/>
      <c r="Z47" s="49"/>
      <c r="AA47" s="49"/>
      <c r="AB47" s="49"/>
      <c r="AC47" s="49"/>
      <c r="AD47" s="49">
        <v>1.5</v>
      </c>
      <c r="AE47" s="58"/>
      <c r="AF47" s="58"/>
      <c r="AG47" s="58"/>
      <c r="AH47" s="59">
        <v>1</v>
      </c>
      <c r="AI47" s="64">
        <v>1.5</v>
      </c>
      <c r="AJ47" s="65">
        <f>AE47+AF47+AG47+AH47+AI47</f>
        <v>2.5</v>
      </c>
    </row>
    <row r="48" spans="22:29">
      <c r="V48" s="48" t="s">
        <v>29</v>
      </c>
      <c r="W48" s="49" t="s">
        <v>27</v>
      </c>
      <c r="X48" s="49" t="s">
        <v>27</v>
      </c>
      <c r="Y48" s="49"/>
      <c r="Z48" s="49"/>
      <c r="AA48" s="49"/>
      <c r="AB48" s="49"/>
      <c r="AC48" s="49"/>
    </row>
    <row r="49" s="2" customFormat="1" hidden="1" spans="22:30">
      <c r="V49" s="50"/>
      <c r="W49" s="51"/>
      <c r="X49" s="51"/>
      <c r="Y49" s="51"/>
      <c r="Z49" s="51"/>
      <c r="AA49" s="51"/>
      <c r="AB49" s="51"/>
      <c r="AC49" s="51"/>
      <c r="AD49" s="51"/>
    </row>
    <row r="50" s="3" customFormat="1" ht="40.2" hidden="1" customHeight="1" spans="22:22">
      <c r="V50" s="10"/>
    </row>
    <row r="51" s="3" customFormat="1" ht="40.2" customHeight="1" spans="1:22">
      <c r="A51" s="27" t="s">
        <v>61</v>
      </c>
      <c r="B51" s="28"/>
      <c r="C51" s="28" t="s">
        <v>62</v>
      </c>
      <c r="D51" s="28"/>
      <c r="E51" s="29"/>
      <c r="F51" s="29"/>
      <c r="G51" s="29"/>
      <c r="H51" s="29"/>
      <c r="I51" s="29"/>
      <c r="J51" s="29"/>
      <c r="K51" s="29"/>
      <c r="L51" s="29"/>
      <c r="M51" s="29"/>
      <c r="N51" s="4"/>
      <c r="O51" s="4"/>
      <c r="P51" s="4"/>
      <c r="Q51" s="4"/>
      <c r="R51" s="28" t="s">
        <v>63</v>
      </c>
      <c r="S51" s="29"/>
      <c r="T51" s="29"/>
      <c r="U51" s="29"/>
      <c r="V51" s="10"/>
    </row>
    <row r="52" s="4" customFormat="1" ht="40.2" customHeight="1" spans="1:22">
      <c r="A52" s="30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"/>
      <c r="O52" s="3"/>
      <c r="P52" s="3"/>
      <c r="Q52" s="3"/>
      <c r="R52" s="32"/>
      <c r="S52" s="32"/>
      <c r="T52" s="32"/>
      <c r="U52" s="32"/>
      <c r="V52" s="10"/>
    </row>
    <row r="53" s="3" customFormat="1" ht="4.05" customHeight="1" spans="1:22">
      <c r="A53" s="30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R53" s="32"/>
      <c r="S53" s="32"/>
      <c r="T53" s="32"/>
      <c r="U53" s="32"/>
      <c r="V53" s="10"/>
    </row>
    <row r="54" s="3" customFormat="1" ht="40.2" customHeight="1" spans="1:22">
      <c r="A54" s="33" t="s">
        <v>64</v>
      </c>
      <c r="B54" s="34"/>
      <c r="C54" s="34" t="s">
        <v>65</v>
      </c>
      <c r="D54" s="34"/>
      <c r="E54" s="35"/>
      <c r="F54" s="35"/>
      <c r="G54" s="35"/>
      <c r="H54" s="35"/>
      <c r="I54" s="35"/>
      <c r="J54" s="35"/>
      <c r="K54" s="35"/>
      <c r="L54" s="35"/>
      <c r="M54" s="35"/>
      <c r="N54" s="5"/>
      <c r="O54" s="5"/>
      <c r="P54" s="5"/>
      <c r="Q54" s="5"/>
      <c r="R54" s="34" t="s">
        <v>66</v>
      </c>
      <c r="S54" s="35"/>
      <c r="T54" s="35"/>
      <c r="U54" s="35"/>
      <c r="V54" s="10"/>
    </row>
    <row r="55" s="5" customFormat="1" ht="40.2" customHeight="1" spans="1:22">
      <c r="A55" s="27" t="s">
        <v>67</v>
      </c>
      <c r="B55" s="28"/>
      <c r="C55" s="28" t="s">
        <v>68</v>
      </c>
      <c r="D55" s="28"/>
      <c r="E55" s="29"/>
      <c r="F55" s="29"/>
      <c r="G55" s="29"/>
      <c r="H55" s="29"/>
      <c r="I55" s="29"/>
      <c r="J55" s="29"/>
      <c r="K55" s="29"/>
      <c r="L55" s="29"/>
      <c r="M55" s="29"/>
      <c r="N55" s="4"/>
      <c r="O55" s="4"/>
      <c r="P55" s="4"/>
      <c r="Q55" s="4"/>
      <c r="R55" s="28" t="s">
        <v>69</v>
      </c>
      <c r="S55" s="29"/>
      <c r="T55" s="29"/>
      <c r="U55" s="29"/>
      <c r="V55" s="10"/>
    </row>
    <row r="56" s="4" customFormat="1" ht="40.2" customHeight="1" spans="22:22">
      <c r="V56" s="10"/>
    </row>
    <row r="57" s="3" customFormat="1" ht="40.2" customHeight="1" spans="22:22">
      <c r="V57" s="10"/>
    </row>
    <row r="58" s="3" customFormat="1" ht="40.2" customHeight="1" spans="22:22">
      <c r="V58" s="10"/>
    </row>
    <row r="59" s="3" customFormat="1" ht="40.2" customHeight="1" spans="22:22">
      <c r="V59" s="10"/>
    </row>
    <row r="60" s="3" customFormat="1" ht="40.2" customHeight="1" spans="1:22">
      <c r="A60" s="30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9"/>
      <c r="V60" s="10"/>
    </row>
    <row r="61" s="3" customFormat="1" ht="40.2" customHeight="1" spans="1:22">
      <c r="A61" s="30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9"/>
      <c r="V61" s="10"/>
    </row>
    <row r="62" s="3" customFormat="1" ht="40.2" customHeight="1" spans="1:22">
      <c r="A62" s="30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9"/>
      <c r="V62" s="10"/>
    </row>
    <row r="63" s="3" customFormat="1" ht="40.2" customHeight="1" spans="1:22">
      <c r="A63" s="30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9"/>
      <c r="V63" s="10"/>
    </row>
    <row r="64" s="3" customFormat="1" ht="40.2" customHeight="1" spans="1:22">
      <c r="A64" s="30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9"/>
      <c r="V64" s="10"/>
    </row>
    <row r="65" s="3" customFormat="1" ht="40.2" customHeight="1" spans="1:22">
      <c r="A65" s="30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9"/>
      <c r="V65" s="10"/>
    </row>
    <row r="66" s="3" customFormat="1" ht="40.2" customHeight="1" spans="1:22">
      <c r="A66" s="30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9"/>
      <c r="V66" s="10"/>
    </row>
  </sheetData>
  <mergeCells count="17">
    <mergeCell ref="A3:U3"/>
    <mergeCell ref="A4:U4"/>
    <mergeCell ref="A6:U6"/>
    <mergeCell ref="A8:U8"/>
    <mergeCell ref="A9:U9"/>
    <mergeCell ref="A10:U10"/>
    <mergeCell ref="C13:G13"/>
    <mergeCell ref="I13:P13"/>
    <mergeCell ref="R13:S13"/>
    <mergeCell ref="A13:A15"/>
    <mergeCell ref="B13:B15"/>
    <mergeCell ref="H13:H14"/>
    <mergeCell ref="Q13:Q14"/>
    <mergeCell ref="T13:T14"/>
    <mergeCell ref="U13:U14"/>
    <mergeCell ref="V13:AC14"/>
    <mergeCell ref="AD13:AJ14"/>
  </mergeCells>
  <conditionalFormatting sqref="G16:G47">
    <cfRule type="cellIs" dxfId="0" priority="1" operator="lessThan">
      <formula>75</formula>
    </cfRule>
  </conditionalFormatting>
  <conditionalFormatting sqref="P16:P47">
    <cfRule type="cellIs" dxfId="0" priority="3" operator="lessThan">
      <formula>75</formula>
    </cfRule>
  </conditionalFormatting>
  <conditionalFormatting sqref="S16:S47">
    <cfRule type="cellIs" dxfId="0" priority="2" operator="lessThan">
      <formula>75</formula>
    </cfRule>
  </conditionalFormatting>
  <conditionalFormatting sqref="U16:U47">
    <cfRule type="cellIs" dxfId="0" priority="4" operator="lessThan">
      <formula>75</formula>
    </cfRule>
  </conditionalFormatting>
  <dataValidations count="2">
    <dataValidation type="decimal" operator="between" allowBlank="1" showInputMessage="1" showErrorMessage="1" errorTitle="Invalid Entry" error="Data entered is greater/less than the number of items." sqref="I16:I47">
      <formula1>0</formula1>
      <formula2>$W$8</formula2>
    </dataValidation>
    <dataValidation type="decimal" operator="between" allowBlank="1" showInputMessage="1" showErrorMessage="1" errorTitle="Invalid Entry" error="Data entered is greater/less than the number of items." sqref="R16:R47">
      <formula1>0</formula1>
      <formula2>$AH$8</formula2>
    </dataValidation>
  </dataValidations>
  <printOptions horizontalCentered="1"/>
  <pageMargins left="0.25" right="0.25" top="0.25" bottom="0.25" header="0.3" footer="0.3"/>
  <pageSetup paperSize="1" scale="19" orientation="portrait" horizontalDpi="360" verticalDpi="36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Prelim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layco</dc:creator>
  <cp:lastModifiedBy>Reijus Cruz</cp:lastModifiedBy>
  <dcterms:created xsi:type="dcterms:W3CDTF">2026-04-09T09:52:34Z</dcterms:created>
  <dcterms:modified xsi:type="dcterms:W3CDTF">2026-04-09T09:54:16Z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6A2D3885D6FC44C5B54981FAA4B57602_11</vt:lpwstr>
  </property>
  <property fmtid="{D5CDD505-2E9C-101B-9397-08002B2CF9AE}" pid="3" name="KSOProductBuildVer">
    <vt:lpwstr>1033-12.2.0.23155</vt:lpwstr>
  </property>
</Properties>
</file>