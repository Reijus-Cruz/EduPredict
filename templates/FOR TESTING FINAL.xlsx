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Prelim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layco</author>
  </authors>
  <commentList>
    <comment ref="AG15" authorId="0">
      <text>
        <r>
          <rPr>
            <b/>
            <sz val="14"/>
            <rFont val="Arial"/>
            <charset val="0"/>
          </rPr>
          <t>1:00pm - 4:00pm</t>
        </r>
        <r>
          <rPr>
            <sz val="9"/>
            <rFont val="Times New Roman"/>
            <charset val="0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<sst xmlns="http://schemas.openxmlformats.org/spreadsheetml/2006/main" count="78" uniqueCount="44">
  <si>
    <t xml:space="preserve"> UNIVERSITY</t>
  </si>
  <si>
    <t>COLLEGE of INFORMATION and COMMUNICATIONS TECHNOLOGY</t>
  </si>
  <si>
    <t>.</t>
  </si>
  <si>
    <t>ENGR1035: IT Elective 2</t>
  </si>
  <si>
    <t>PRELIM CLASS RECORD - BSIT 3E</t>
  </si>
  <si>
    <t>1st Semester Academic Year 2025-2026</t>
  </si>
  <si>
    <t>NO.</t>
  </si>
  <si>
    <t>NAME</t>
  </si>
  <si>
    <t>CLASS STANDING</t>
  </si>
  <si>
    <t>TASK PERFORMANCE</t>
  </si>
  <si>
    <t>EXAMINATION</t>
  </si>
  <si>
    <t>PRELIM GRADE</t>
  </si>
  <si>
    <t>ATTENDANCE</t>
  </si>
  <si>
    <t>QUIZ 1</t>
  </si>
  <si>
    <t>QUIZ 2</t>
  </si>
  <si>
    <t>Attendance</t>
  </si>
  <si>
    <t>S1</t>
  </si>
  <si>
    <t>TOTAL</t>
  </si>
  <si>
    <t>EQUIV</t>
  </si>
  <si>
    <t>RPT</t>
  </si>
  <si>
    <t>A3</t>
  </si>
  <si>
    <t>LAB A1</t>
  </si>
  <si>
    <t>LAB A2</t>
  </si>
  <si>
    <t>LAB A3</t>
  </si>
  <si>
    <t xml:space="preserve"> LAB A4</t>
  </si>
  <si>
    <t>SCORE</t>
  </si>
  <si>
    <t>ANTOLO,  PAUL ANDRE</t>
  </si>
  <si>
    <t>P</t>
  </si>
  <si>
    <t>ARELLANO,  HERO LLOYD</t>
  </si>
  <si>
    <t>p</t>
  </si>
  <si>
    <t>BATISLA-ON,  JOHN NICO LAWRENCE</t>
  </si>
  <si>
    <t>CARVAJAL,  RASHEED</t>
  </si>
  <si>
    <t>CELIS,  JOHN MICHAEL</t>
  </si>
  <si>
    <t>DE ASIS,  SAMANTHA</t>
  </si>
  <si>
    <t>DECREPITO,  KEVIN</t>
  </si>
  <si>
    <t>DELAGAO,  REYDIAN</t>
  </si>
  <si>
    <t>L</t>
  </si>
  <si>
    <t>DEPALUBOS,  OMEGA JIRAH</t>
  </si>
  <si>
    <t>EDAÑO,  KYL REMIEL</t>
  </si>
  <si>
    <t>ESTORCO,  EMMANUEL KAY JOHN</t>
  </si>
  <si>
    <t>FETALINO,  CIVREL MARLYNETTE</t>
  </si>
  <si>
    <t>FRANCISCO, SHANE</t>
  </si>
  <si>
    <t>GARBO,  JUDITH</t>
  </si>
  <si>
    <t>GENOVIA,  BENNIE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</si>
</sst>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mmm\-yy"/>
  </numFmts>
  <fonts count="43">
    <font>
      <sz val="11"/>
      <color theme="1"/>
      <name val="Calibri"/>
      <charset val="134"/>
      <scheme val="minor"/>
    </font>
    <font>
      <b/>
      <sz val="25"/>
      <color theme="1"/>
      <name val="Calibri"/>
      <charset val="134"/>
      <scheme val="minor"/>
    </font>
    <font>
      <sz val="36"/>
      <color theme="1"/>
      <name val="Calibri"/>
      <charset val="134"/>
      <scheme val="minor"/>
    </font>
    <font>
      <sz val="25"/>
      <color theme="1"/>
      <name val="Calibri"/>
      <charset val="134"/>
      <scheme val="minor"/>
    </font>
    <font>
      <sz val="15"/>
      <color theme="1"/>
      <name val="Calibri"/>
      <charset val="134"/>
      <scheme val="minor"/>
    </font>
    <font>
      <sz val="40"/>
      <color theme="1"/>
      <name val="Calibri"/>
      <charset val="134"/>
      <scheme val="minor"/>
    </font>
    <font>
      <b/>
      <sz val="28"/>
      <color theme="1"/>
      <name val="Calibri"/>
      <charset val="134"/>
      <scheme val="minor"/>
    </font>
    <font>
      <b/>
      <sz val="40"/>
      <color theme="1"/>
      <name val="Calibri"/>
      <charset val="134"/>
      <scheme val="minor"/>
    </font>
    <font>
      <b/>
      <sz val="35"/>
      <color theme="1"/>
      <name val="Calibri"/>
      <charset val="134"/>
      <scheme val="minor"/>
    </font>
    <font>
      <b/>
      <sz val="50"/>
      <color theme="1"/>
      <name val="Calibri"/>
      <charset val="134"/>
      <scheme val="minor"/>
    </font>
    <font>
      <b/>
      <sz val="36"/>
      <color theme="0"/>
      <name val="Calibri"/>
      <charset val="134"/>
      <scheme val="minor"/>
    </font>
    <font>
      <sz val="30"/>
      <color theme="1"/>
      <name val="Calibri"/>
      <charset val="134"/>
      <scheme val="minor"/>
    </font>
    <font>
      <b/>
      <sz val="26"/>
      <name val="Arial"/>
      <charset val="134"/>
    </font>
    <font>
      <sz val="15"/>
      <color theme="0"/>
      <name val="Calibri"/>
      <charset val="134"/>
      <scheme val="minor"/>
    </font>
    <font>
      <sz val="40"/>
      <color theme="0"/>
      <name val="Calibri"/>
      <charset val="134"/>
      <scheme val="minor"/>
    </font>
    <font>
      <b/>
      <sz val="48"/>
      <color theme="0"/>
      <name val="Calibri"/>
      <charset val="134"/>
      <scheme val="minor"/>
    </font>
    <font>
      <b/>
      <sz val="28"/>
      <name val="Calibri"/>
      <charset val="134"/>
      <scheme val="minor"/>
    </font>
    <font>
      <b/>
      <sz val="72"/>
      <color theme="1"/>
      <name val="Calibri"/>
      <charset val="134"/>
      <scheme val="minor"/>
    </font>
    <font>
      <sz val="40"/>
      <color theme="1"/>
      <name val="Calibri"/>
      <charset val="134"/>
    </font>
    <font>
      <sz val="40"/>
      <name val="Calibri"/>
      <charset val="134"/>
    </font>
    <font>
      <b/>
      <sz val="40"/>
      <color theme="1"/>
      <name val="Calibri"/>
      <charset val="134"/>
    </font>
    <font>
      <b/>
      <sz val="4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4"/>
      <name val="Arial"/>
      <charset val="0"/>
    </font>
    <font>
      <sz val="9"/>
      <name val="Times New Roman"/>
      <charset val="0"/>
    </font>
  </fonts>
  <fills count="43">
    <fill>
      <patternFill patternType="none"/>
    </fill>
    <fill>
      <patternFill patternType="gray125"/>
    </fill>
    <fill>
      <patternFill patternType="solid">
        <fgColor rgb="FF225AA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EF2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01579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82909634693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3" borderId="10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4" borderId="13" applyNumberFormat="0" applyAlignment="0" applyProtection="0">
      <alignment vertical="center"/>
    </xf>
    <xf numFmtId="0" fontId="31" fillId="15" borderId="14" applyNumberFormat="0" applyAlignment="0" applyProtection="0">
      <alignment vertical="center"/>
    </xf>
    <xf numFmtId="0" fontId="32" fillId="15" borderId="13" applyNumberFormat="0" applyAlignment="0" applyProtection="0">
      <alignment vertical="center"/>
    </xf>
    <xf numFmtId="0" fontId="33" fillId="16" borderId="15" applyNumberFormat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35" fillId="0" borderId="17" applyNumberFormat="0" applyFill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/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/>
    <xf numFmtId="0" fontId="6" fillId="0" borderId="0" xfId="0" applyFont="1" applyFill="1" applyAlignment="1"/>
    <xf numFmtId="0" fontId="4" fillId="0" borderId="0" xfId="0" applyFont="1" applyFill="1" applyAlignment="1"/>
    <xf numFmtId="0" fontId="4" fillId="0" borderId="0" xfId="0" applyFont="1" applyAlignment="1"/>
    <xf numFmtId="0" fontId="7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8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 applyProtection="1">
      <protection locked="0"/>
    </xf>
    <xf numFmtId="0" fontId="3" fillId="0" borderId="1" xfId="0" applyFont="1" applyFill="1" applyBorder="1" applyAlignment="1">
      <alignment horizontal="center" vertical="center"/>
    </xf>
    <xf numFmtId="2" fontId="7" fillId="0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9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  <xf numFmtId="0" fontId="14" fillId="0" borderId="0" xfId="0" applyFont="1" applyFill="1" applyAlignment="1"/>
    <xf numFmtId="9" fontId="1" fillId="5" borderId="2" xfId="0" applyNumberFormat="1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/>
    </xf>
    <xf numFmtId="9" fontId="1" fillId="5" borderId="3" xfId="0" applyNumberFormat="1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 wrapText="1"/>
    </xf>
    <xf numFmtId="2" fontId="1" fillId="6" borderId="1" xfId="0" applyNumberFormat="1" applyFont="1" applyFill="1" applyBorder="1" applyAlignment="1">
      <alignment horizontal="center" vertical="center"/>
    </xf>
    <xf numFmtId="2" fontId="7" fillId="6" borderId="1" xfId="0" applyNumberFormat="1" applyFont="1" applyFill="1" applyBorder="1" applyAlignment="1">
      <alignment horizontal="center" vertical="center"/>
    </xf>
    <xf numFmtId="176" fontId="16" fillId="8" borderId="1" xfId="0" applyNumberFormat="1" applyFont="1" applyFill="1" applyBorder="1" applyAlignment="1"/>
    <xf numFmtId="0" fontId="15" fillId="8" borderId="1" xfId="0" applyFont="1" applyFill="1" applyBorder="1" applyAlignment="1"/>
    <xf numFmtId="0" fontId="6" fillId="0" borderId="1" xfId="0" applyFont="1" applyFill="1" applyBorder="1" applyAlignment="1"/>
    <xf numFmtId="0" fontId="4" fillId="0" borderId="1" xfId="0" applyFont="1" applyFill="1" applyBorder="1" applyAlignment="1"/>
    <xf numFmtId="0" fontId="17" fillId="9" borderId="4" xfId="0" applyFont="1" applyFill="1" applyBorder="1" applyAlignment="1">
      <alignment horizontal="center"/>
    </xf>
    <xf numFmtId="0" fontId="17" fillId="9" borderId="5" xfId="0" applyFont="1" applyFill="1" applyBorder="1" applyAlignment="1">
      <alignment horizontal="center"/>
    </xf>
    <xf numFmtId="0" fontId="17" fillId="9" borderId="6" xfId="0" applyFont="1" applyFill="1" applyBorder="1" applyAlignment="1">
      <alignment horizontal="center"/>
    </xf>
    <xf numFmtId="0" fontId="17" fillId="9" borderId="7" xfId="0" applyFont="1" applyFill="1" applyBorder="1" applyAlignment="1">
      <alignment horizontal="center"/>
    </xf>
    <xf numFmtId="58" fontId="1" fillId="0" borderId="1" xfId="0" applyNumberFormat="1" applyFont="1" applyFill="1" applyBorder="1" applyAlignment="1"/>
    <xf numFmtId="176" fontId="18" fillId="0" borderId="8" xfId="0" applyNumberFormat="1" applyFont="1" applyFill="1" applyBorder="1" applyAlignment="1"/>
    <xf numFmtId="0" fontId="19" fillId="10" borderId="1" xfId="0" applyFont="1" applyFill="1" applyBorder="1" applyAlignment="1" applyProtection="1">
      <protection locked="0"/>
    </xf>
    <xf numFmtId="0" fontId="18" fillId="11" borderId="1" xfId="0" applyFont="1" applyFill="1" applyBorder="1" applyAlignment="1"/>
    <xf numFmtId="176" fontId="18" fillId="0" borderId="9" xfId="0" applyNumberFormat="1" applyFont="1" applyFill="1" applyBorder="1" applyAlignment="1"/>
    <xf numFmtId="176" fontId="20" fillId="0" borderId="8" xfId="0" applyNumberFormat="1" applyFont="1" applyFill="1" applyBorder="1" applyAlignment="1"/>
    <xf numFmtId="0" fontId="18" fillId="12" borderId="8" xfId="0" applyFont="1" applyFill="1" applyBorder="1" applyAlignment="1"/>
    <xf numFmtId="0" fontId="20" fillId="11" borderId="1" xfId="0" applyFont="1" applyFill="1" applyBorder="1" applyAlignment="1"/>
    <xf numFmtId="0" fontId="21" fillId="12" borderId="1" xfId="0" applyFont="1" applyFill="1" applyBorder="1" applyAlignment="1" applyProtection="1">
      <protection locked="0"/>
    </xf>
    <xf numFmtId="0" fontId="19" fillId="11" borderId="1" xfId="0" applyFont="1" applyFill="1" applyBorder="1" applyAlignment="1" applyProtection="1">
      <protection locked="0"/>
    </xf>
    <xf numFmtId="0" fontId="21" fillId="10" borderId="1" xfId="0" applyFont="1" applyFill="1" applyBorder="1" applyAlignment="1" applyProtection="1"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C0000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399700918607135"/>
    <pageSetUpPr fitToPage="1"/>
  </sheetPr>
  <dimension ref="A3:AK41"/>
  <sheetViews>
    <sheetView tabSelected="1" zoomScale="40" zoomScaleNormal="40" topLeftCell="A6" workbookViewId="0">
      <selection activeCell="A6" sqref="A6:V6"/>
    </sheetView>
  </sheetViews>
  <sheetFormatPr defaultColWidth="8.88888888888889" defaultRowHeight="51.6"/>
  <cols>
    <col min="1" max="1" width="16.3333333333333" style="4" customWidth="1"/>
    <col min="2" max="2" width="101.444444444444" style="5" customWidth="1"/>
    <col min="3" max="4" width="15.6666666666667" style="6" customWidth="1"/>
    <col min="5" max="5" width="27" style="6" customWidth="1"/>
    <col min="6" max="6" width="15.6666666666667" style="6" hidden="1" customWidth="1"/>
    <col min="7" max="7" width="15.6666666666667" style="6" customWidth="1"/>
    <col min="8" max="8" width="28" style="6" customWidth="1"/>
    <col min="9" max="9" width="21.8888888888889" style="6" customWidth="1"/>
    <col min="10" max="10" width="0.444444444444444" style="6" hidden="1" customWidth="1"/>
    <col min="11" max="11" width="15.6666666666667" style="6" hidden="1" customWidth="1"/>
    <col min="12" max="14" width="16.7777777777778" style="6" customWidth="1"/>
    <col min="15" max="15" width="18" style="6" customWidth="1"/>
    <col min="16" max="16" width="15.6666666666667" style="6" customWidth="1"/>
    <col min="17" max="17" width="29.4444444444444" style="6" customWidth="1"/>
    <col min="18" max="18" width="22.7777777777778" style="6" customWidth="1"/>
    <col min="19" max="19" width="23" style="6" customWidth="1"/>
    <col min="20" max="20" width="27.2222222222222" style="6" customWidth="1"/>
    <col min="21" max="21" width="27.6666666666667" style="6" customWidth="1"/>
    <col min="22" max="22" width="32.7777777777778" style="7" customWidth="1"/>
    <col min="23" max="23" width="15.4444444444444" style="8" hidden="1" customWidth="1"/>
    <col min="24" max="30" width="8.88888888888889" style="9" hidden="1" customWidth="1"/>
    <col min="31" max="31" width="21.6666666666667" style="9" hidden="1" customWidth="1"/>
    <col min="32" max="32" width="26.8888888888889" style="9" customWidth="1"/>
    <col min="33" max="33" width="26.5555555555556" style="9" customWidth="1"/>
    <col min="34" max="36" width="25.6666666666667" style="9" customWidth="1"/>
    <col min="37" max="37" width="24.2222222222222" style="9" customWidth="1"/>
    <col min="38" max="16377" width="8.88888888888889" style="9"/>
    <col min="16378" max="16384" width="8.88888888888889" style="10"/>
  </cols>
  <sheetData>
    <row r="3" customHeight="1" spans="1:22">
      <c r="A3" s="11" t="s">
        <v>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4" ht="40.95" customHeight="1" spans="1:22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</row>
    <row r="6" spans="1:32">
      <c r="A6" s="11" t="s">
        <v>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AF6" s="9" t="s">
        <v>2</v>
      </c>
    </row>
    <row r="7" hidden="1" customHeight="1" spans="1:22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</row>
    <row r="8" ht="63.6" spans="1:22">
      <c r="A8" s="14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</row>
    <row r="9" ht="63.6" spans="1:22">
      <c r="A9" s="14" t="s">
        <v>4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</row>
    <row r="10" ht="45" spans="1:22">
      <c r="A10" s="13" t="s">
        <v>5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</row>
    <row r="11" hidden="1" spans="1:22">
      <c r="A11" s="13"/>
      <c r="B11" s="13"/>
      <c r="C11" s="13"/>
      <c r="D11" s="13"/>
      <c r="E11" s="13"/>
      <c r="F11" s="13"/>
      <c r="G11" s="13"/>
      <c r="H11" s="13"/>
      <c r="I11" s="13"/>
      <c r="J11" s="27"/>
      <c r="K11" s="27"/>
      <c r="L11" s="27"/>
      <c r="M11" s="27"/>
      <c r="N11" s="27"/>
      <c r="O11" s="27"/>
      <c r="P11" s="27"/>
      <c r="Q11" s="27"/>
      <c r="S11" s="27"/>
      <c r="T11" s="27"/>
      <c r="V11" s="31"/>
    </row>
    <row r="12" ht="34.95" customHeight="1"/>
    <row r="13" s="1" customFormat="1" ht="62.4" customHeight="1" spans="1:37">
      <c r="A13" s="15" t="s">
        <v>6</v>
      </c>
      <c r="B13" s="16" t="s">
        <v>7</v>
      </c>
      <c r="C13" s="15" t="s">
        <v>8</v>
      </c>
      <c r="D13" s="15"/>
      <c r="E13" s="15"/>
      <c r="F13" s="15"/>
      <c r="G13" s="15"/>
      <c r="H13" s="15"/>
      <c r="I13" s="28">
        <v>0.2</v>
      </c>
      <c r="J13" s="15" t="s">
        <v>9</v>
      </c>
      <c r="K13" s="15"/>
      <c r="L13" s="15"/>
      <c r="M13" s="15"/>
      <c r="N13" s="15"/>
      <c r="O13" s="15"/>
      <c r="P13" s="15"/>
      <c r="Q13" s="15"/>
      <c r="R13" s="32">
        <v>0.3</v>
      </c>
      <c r="S13" s="15" t="s">
        <v>10</v>
      </c>
      <c r="T13" s="15"/>
      <c r="U13" s="32">
        <v>0.5</v>
      </c>
      <c r="V13" s="33" t="s">
        <v>11</v>
      </c>
      <c r="W13" s="34" t="s">
        <v>12</v>
      </c>
      <c r="X13" s="34"/>
      <c r="Y13" s="34"/>
      <c r="Z13" s="34"/>
      <c r="AA13" s="34"/>
      <c r="AB13" s="34"/>
      <c r="AC13" s="34"/>
      <c r="AD13" s="34"/>
      <c r="AE13" s="43" t="s">
        <v>12</v>
      </c>
      <c r="AF13" s="44"/>
      <c r="AG13" s="44"/>
      <c r="AH13" s="44"/>
      <c r="AI13" s="44"/>
      <c r="AJ13" s="44"/>
      <c r="AK13" s="44"/>
    </row>
    <row r="14" s="1" customFormat="1" ht="57.6" customHeight="1" spans="1:37">
      <c r="A14" s="15"/>
      <c r="B14" s="16"/>
      <c r="C14" s="17" t="s">
        <v>13</v>
      </c>
      <c r="D14" s="17" t="s">
        <v>14</v>
      </c>
      <c r="E14" s="17" t="s">
        <v>15</v>
      </c>
      <c r="F14" s="17" t="s">
        <v>16</v>
      </c>
      <c r="G14" s="17" t="s">
        <v>17</v>
      </c>
      <c r="H14" s="17" t="s">
        <v>18</v>
      </c>
      <c r="I14" s="28"/>
      <c r="J14" s="17" t="s">
        <v>19</v>
      </c>
      <c r="K14" s="17" t="s">
        <v>20</v>
      </c>
      <c r="L14" s="17" t="s">
        <v>21</v>
      </c>
      <c r="M14" s="17" t="s">
        <v>22</v>
      </c>
      <c r="N14" s="17" t="s">
        <v>23</v>
      </c>
      <c r="O14" s="17" t="s">
        <v>24</v>
      </c>
      <c r="P14" s="17" t="s">
        <v>17</v>
      </c>
      <c r="Q14" s="17" t="s">
        <v>18</v>
      </c>
      <c r="R14" s="35"/>
      <c r="S14" s="17" t="s">
        <v>25</v>
      </c>
      <c r="T14" s="17" t="s">
        <v>18</v>
      </c>
      <c r="U14" s="35"/>
      <c r="V14" s="36"/>
      <c r="W14" s="34"/>
      <c r="X14" s="34"/>
      <c r="Y14" s="34"/>
      <c r="Z14" s="34"/>
      <c r="AA14" s="34"/>
      <c r="AB14" s="34"/>
      <c r="AC14" s="34"/>
      <c r="AD14" s="34"/>
      <c r="AE14" s="45"/>
      <c r="AF14" s="46"/>
      <c r="AG14" s="46"/>
      <c r="AH14" s="46"/>
      <c r="AI14" s="46"/>
      <c r="AJ14" s="46"/>
      <c r="AK14" s="46"/>
    </row>
    <row r="15" s="1" customFormat="1" ht="60.6" customHeight="1" spans="1:37">
      <c r="A15" s="15"/>
      <c r="B15" s="16"/>
      <c r="C15" s="18">
        <v>10</v>
      </c>
      <c r="D15" s="18">
        <v>10</v>
      </c>
      <c r="E15" s="18">
        <v>5</v>
      </c>
      <c r="F15" s="18">
        <v>0</v>
      </c>
      <c r="G15" s="18">
        <f t="shared" ref="G15:G47" si="0">SUM(C15:F15)</f>
        <v>25</v>
      </c>
      <c r="H15" s="19">
        <f t="shared" ref="H15:H47" si="1">G15/$G$15*50+50</f>
        <v>100</v>
      </c>
      <c r="I15" s="19">
        <f t="shared" ref="I15:I47" si="2">H15*$I$13</f>
        <v>20</v>
      </c>
      <c r="J15" s="29">
        <v>0</v>
      </c>
      <c r="K15" s="29"/>
      <c r="L15" s="29">
        <v>25</v>
      </c>
      <c r="M15" s="29">
        <v>25</v>
      </c>
      <c r="N15" s="29">
        <v>25</v>
      </c>
      <c r="O15" s="29">
        <v>25</v>
      </c>
      <c r="P15" s="29">
        <f t="shared" ref="P15:P47" si="3">SUM(J15:O15)</f>
        <v>100</v>
      </c>
      <c r="Q15" s="37">
        <f t="shared" ref="Q15:Q47" si="4">P15/$P$15*50+50</f>
        <v>100</v>
      </c>
      <c r="R15" s="37">
        <f t="shared" ref="R15:R47" si="5">Q15*$R$13</f>
        <v>30</v>
      </c>
      <c r="S15" s="29">
        <v>50</v>
      </c>
      <c r="T15" s="37">
        <f t="shared" ref="T15:T47" si="6">S15/$S$15*50+50</f>
        <v>100</v>
      </c>
      <c r="U15" s="37">
        <f t="shared" ref="U15:U47" si="7">T15*$U$13</f>
        <v>50</v>
      </c>
      <c r="V15" s="38">
        <f t="shared" ref="V15:V47" si="8">SUM(I15,R15,U15)</f>
        <v>100</v>
      </c>
      <c r="W15" s="39">
        <v>46419</v>
      </c>
      <c r="X15" s="40"/>
      <c r="Y15" s="40"/>
      <c r="Z15" s="40"/>
      <c r="AA15" s="40"/>
      <c r="AB15" s="40"/>
      <c r="AC15" s="40"/>
      <c r="AD15" s="40"/>
      <c r="AE15" s="47">
        <v>45870</v>
      </c>
      <c r="AF15" s="48">
        <v>44044</v>
      </c>
      <c r="AG15" s="48">
        <v>45139</v>
      </c>
      <c r="AH15" s="48">
        <v>38961</v>
      </c>
      <c r="AI15" s="51">
        <v>40422</v>
      </c>
      <c r="AJ15" s="52">
        <v>41518</v>
      </c>
      <c r="AK15" s="53" t="s">
        <v>17</v>
      </c>
    </row>
    <row r="16" spans="1:37">
      <c r="A16" s="20">
        <v>1</v>
      </c>
      <c r="B16" s="21" t="s">
        <v>26</v>
      </c>
      <c r="C16" s="22">
        <v>0</v>
      </c>
      <c r="D16" s="22">
        <v>7</v>
      </c>
      <c r="E16" s="22">
        <v>1</v>
      </c>
      <c r="F16" s="22"/>
      <c r="G16" s="17">
        <f t="shared" si="0"/>
        <v>8</v>
      </c>
      <c r="H16" s="23">
        <f t="shared" si="1"/>
        <v>66</v>
      </c>
      <c r="I16" s="30">
        <f t="shared" si="2"/>
        <v>13.2</v>
      </c>
      <c r="J16" s="17">
        <v>0</v>
      </c>
      <c r="K16" s="22"/>
      <c r="L16" s="22">
        <v>25</v>
      </c>
      <c r="M16" s="22">
        <v>25</v>
      </c>
      <c r="N16" s="22">
        <v>25</v>
      </c>
      <c r="O16" s="22">
        <v>25</v>
      </c>
      <c r="P16" s="17">
        <f t="shared" si="3"/>
        <v>100</v>
      </c>
      <c r="Q16" s="23">
        <f t="shared" si="4"/>
        <v>100</v>
      </c>
      <c r="R16" s="30">
        <f t="shared" si="5"/>
        <v>30</v>
      </c>
      <c r="S16" s="17"/>
      <c r="T16" s="23">
        <f t="shared" si="6"/>
        <v>50</v>
      </c>
      <c r="U16" s="30">
        <f t="shared" si="7"/>
        <v>25</v>
      </c>
      <c r="V16" s="23">
        <f t="shared" si="8"/>
        <v>68.2</v>
      </c>
      <c r="W16" s="41" t="s">
        <v>27</v>
      </c>
      <c r="X16" s="42" t="s">
        <v>27</v>
      </c>
      <c r="Y16" s="42" t="s">
        <v>27</v>
      </c>
      <c r="Z16" s="42"/>
      <c r="AA16" s="42"/>
      <c r="AB16" s="42"/>
      <c r="AC16" s="42"/>
      <c r="AD16" s="42"/>
      <c r="AE16" s="42"/>
      <c r="AF16" s="49"/>
      <c r="AG16" s="49"/>
      <c r="AH16" s="49"/>
      <c r="AI16" s="49"/>
      <c r="AJ16" s="54">
        <v>1</v>
      </c>
      <c r="AK16" s="55">
        <f t="shared" ref="AK16:AK30" si="9">AF16+AG16+AH16+AI16+AJ16</f>
        <v>1</v>
      </c>
    </row>
    <row r="17" spans="1:37">
      <c r="A17" s="20">
        <v>2</v>
      </c>
      <c r="B17" s="21" t="s">
        <v>28</v>
      </c>
      <c r="C17" s="22">
        <v>10</v>
      </c>
      <c r="D17" s="22">
        <v>6</v>
      </c>
      <c r="E17" s="22">
        <v>4</v>
      </c>
      <c r="F17" s="22"/>
      <c r="G17" s="17">
        <f t="shared" si="0"/>
        <v>20</v>
      </c>
      <c r="H17" s="23">
        <f t="shared" si="1"/>
        <v>90</v>
      </c>
      <c r="I17" s="30">
        <f t="shared" si="2"/>
        <v>18</v>
      </c>
      <c r="J17" s="17">
        <v>0</v>
      </c>
      <c r="K17" s="22"/>
      <c r="L17" s="22">
        <v>25</v>
      </c>
      <c r="M17" s="22">
        <v>25</v>
      </c>
      <c r="N17" s="22">
        <v>25</v>
      </c>
      <c r="O17" s="22">
        <v>25</v>
      </c>
      <c r="P17" s="17">
        <f t="shared" si="3"/>
        <v>100</v>
      </c>
      <c r="Q17" s="23">
        <f t="shared" si="4"/>
        <v>100</v>
      </c>
      <c r="R17" s="30">
        <f t="shared" si="5"/>
        <v>30</v>
      </c>
      <c r="S17" s="17"/>
      <c r="T17" s="23">
        <f t="shared" si="6"/>
        <v>50</v>
      </c>
      <c r="U17" s="30">
        <f t="shared" si="7"/>
        <v>25</v>
      </c>
      <c r="V17" s="23">
        <f t="shared" si="8"/>
        <v>73</v>
      </c>
      <c r="W17" s="41" t="s">
        <v>27</v>
      </c>
      <c r="X17" s="42" t="s">
        <v>29</v>
      </c>
      <c r="Y17" s="42"/>
      <c r="Z17" s="42"/>
      <c r="AA17" s="42"/>
      <c r="AB17" s="42"/>
      <c r="AC17" s="42"/>
      <c r="AD17" s="42"/>
      <c r="AF17" s="49"/>
      <c r="AG17" s="56">
        <v>1</v>
      </c>
      <c r="AH17" s="56">
        <v>1</v>
      </c>
      <c r="AI17" s="56">
        <v>1</v>
      </c>
      <c r="AJ17" s="54">
        <v>1</v>
      </c>
      <c r="AK17" s="55">
        <f t="shared" si="9"/>
        <v>4</v>
      </c>
    </row>
    <row r="18" spans="1:37">
      <c r="A18" s="20">
        <v>3</v>
      </c>
      <c r="B18" s="21" t="s">
        <v>30</v>
      </c>
      <c r="C18" s="22">
        <v>10</v>
      </c>
      <c r="D18" s="22">
        <v>6</v>
      </c>
      <c r="E18" s="22">
        <v>4</v>
      </c>
      <c r="F18" s="22"/>
      <c r="G18" s="17">
        <f t="shared" si="0"/>
        <v>20</v>
      </c>
      <c r="H18" s="23">
        <f t="shared" si="1"/>
        <v>90</v>
      </c>
      <c r="I18" s="30">
        <f t="shared" si="2"/>
        <v>18</v>
      </c>
      <c r="J18" s="17">
        <v>0</v>
      </c>
      <c r="K18" s="22"/>
      <c r="L18" s="22">
        <v>25</v>
      </c>
      <c r="M18" s="22">
        <v>25</v>
      </c>
      <c r="N18" s="22">
        <v>25</v>
      </c>
      <c r="O18" s="22">
        <v>25</v>
      </c>
      <c r="P18" s="17">
        <f t="shared" si="3"/>
        <v>100</v>
      </c>
      <c r="Q18" s="23">
        <f t="shared" si="4"/>
        <v>100</v>
      </c>
      <c r="R18" s="30">
        <f t="shared" si="5"/>
        <v>30</v>
      </c>
      <c r="S18" s="17"/>
      <c r="T18" s="23">
        <f t="shared" si="6"/>
        <v>50</v>
      </c>
      <c r="U18" s="30">
        <f t="shared" si="7"/>
        <v>25</v>
      </c>
      <c r="V18" s="23">
        <f t="shared" si="8"/>
        <v>73</v>
      </c>
      <c r="W18" s="41" t="s">
        <v>27</v>
      </c>
      <c r="X18" s="42" t="s">
        <v>27</v>
      </c>
      <c r="Y18" s="42" t="s">
        <v>27</v>
      </c>
      <c r="Z18" s="42"/>
      <c r="AA18" s="42"/>
      <c r="AB18" s="42"/>
      <c r="AC18" s="42"/>
      <c r="AD18" s="42"/>
      <c r="AE18" s="42"/>
      <c r="AF18" s="49"/>
      <c r="AG18" s="56">
        <v>1</v>
      </c>
      <c r="AH18" s="50">
        <v>1</v>
      </c>
      <c r="AI18" s="50">
        <v>1</v>
      </c>
      <c r="AJ18" s="54">
        <v>1</v>
      </c>
      <c r="AK18" s="55">
        <f t="shared" si="9"/>
        <v>4</v>
      </c>
    </row>
    <row r="19" spans="1:37">
      <c r="A19" s="20">
        <v>4</v>
      </c>
      <c r="B19" s="21" t="s">
        <v>31</v>
      </c>
      <c r="C19" s="22">
        <v>7</v>
      </c>
      <c r="D19" s="22">
        <v>7</v>
      </c>
      <c r="E19" s="22">
        <v>4</v>
      </c>
      <c r="F19" s="22"/>
      <c r="G19" s="17">
        <f t="shared" si="0"/>
        <v>18</v>
      </c>
      <c r="H19" s="23">
        <f t="shared" si="1"/>
        <v>86</v>
      </c>
      <c r="I19" s="30">
        <f t="shared" si="2"/>
        <v>17.2</v>
      </c>
      <c r="J19" s="17">
        <v>0</v>
      </c>
      <c r="K19" s="22"/>
      <c r="L19" s="22">
        <v>25</v>
      </c>
      <c r="M19" s="22">
        <v>25</v>
      </c>
      <c r="N19" s="22">
        <v>25</v>
      </c>
      <c r="O19" s="22">
        <v>25</v>
      </c>
      <c r="P19" s="17">
        <f t="shared" si="3"/>
        <v>100</v>
      </c>
      <c r="Q19" s="23">
        <f t="shared" si="4"/>
        <v>100</v>
      </c>
      <c r="R19" s="30">
        <f t="shared" si="5"/>
        <v>30</v>
      </c>
      <c r="S19" s="17"/>
      <c r="T19" s="23">
        <f t="shared" si="6"/>
        <v>50</v>
      </c>
      <c r="U19" s="30">
        <f t="shared" si="7"/>
        <v>25</v>
      </c>
      <c r="V19" s="23">
        <f t="shared" si="8"/>
        <v>72.2</v>
      </c>
      <c r="W19" s="41"/>
      <c r="X19" s="42"/>
      <c r="Y19" s="42" t="s">
        <v>27</v>
      </c>
      <c r="Z19" s="42"/>
      <c r="AA19" s="42"/>
      <c r="AB19" s="42"/>
      <c r="AC19" s="42"/>
      <c r="AD19" s="42"/>
      <c r="AE19" s="42"/>
      <c r="AF19" s="49"/>
      <c r="AG19" s="56">
        <v>1</v>
      </c>
      <c r="AH19" s="50">
        <v>1</v>
      </c>
      <c r="AI19" s="50">
        <v>1</v>
      </c>
      <c r="AJ19" s="54">
        <v>1</v>
      </c>
      <c r="AK19" s="55">
        <f t="shared" si="9"/>
        <v>4</v>
      </c>
    </row>
    <row r="20" spans="1:37">
      <c r="A20" s="20">
        <v>5</v>
      </c>
      <c r="B20" s="21" t="s">
        <v>32</v>
      </c>
      <c r="C20" s="22">
        <v>9</v>
      </c>
      <c r="D20" s="22">
        <v>8</v>
      </c>
      <c r="E20" s="22">
        <v>4</v>
      </c>
      <c r="F20" s="22"/>
      <c r="G20" s="17">
        <f t="shared" si="0"/>
        <v>21</v>
      </c>
      <c r="H20" s="23">
        <f t="shared" si="1"/>
        <v>92</v>
      </c>
      <c r="I20" s="30">
        <f t="shared" si="2"/>
        <v>18.4</v>
      </c>
      <c r="J20" s="17">
        <v>0</v>
      </c>
      <c r="K20" s="22"/>
      <c r="L20" s="22">
        <v>25</v>
      </c>
      <c r="M20" s="22">
        <v>25</v>
      </c>
      <c r="N20" s="22">
        <v>25</v>
      </c>
      <c r="O20" s="22">
        <v>25</v>
      </c>
      <c r="P20" s="17">
        <f t="shared" si="3"/>
        <v>100</v>
      </c>
      <c r="Q20" s="23">
        <f t="shared" si="4"/>
        <v>100</v>
      </c>
      <c r="R20" s="30">
        <f t="shared" si="5"/>
        <v>30</v>
      </c>
      <c r="S20" s="17"/>
      <c r="T20" s="23">
        <f t="shared" si="6"/>
        <v>50</v>
      </c>
      <c r="U20" s="30">
        <f t="shared" si="7"/>
        <v>25</v>
      </c>
      <c r="V20" s="23">
        <f t="shared" si="8"/>
        <v>73.4</v>
      </c>
      <c r="W20" s="41" t="s">
        <v>27</v>
      </c>
      <c r="X20" s="42" t="s">
        <v>27</v>
      </c>
      <c r="Y20" s="42" t="s">
        <v>27</v>
      </c>
      <c r="Z20" s="42"/>
      <c r="AA20" s="42"/>
      <c r="AB20" s="42"/>
      <c r="AC20" s="42"/>
      <c r="AD20" s="42"/>
      <c r="AE20" s="42"/>
      <c r="AF20" s="49"/>
      <c r="AG20" s="56">
        <v>1</v>
      </c>
      <c r="AH20" s="50">
        <v>1</v>
      </c>
      <c r="AI20" s="50">
        <v>1</v>
      </c>
      <c r="AJ20" s="54">
        <v>1</v>
      </c>
      <c r="AK20" s="55">
        <f t="shared" si="9"/>
        <v>4</v>
      </c>
    </row>
    <row r="21" spans="1:37">
      <c r="A21" s="20">
        <v>6</v>
      </c>
      <c r="B21" s="21" t="s">
        <v>33</v>
      </c>
      <c r="C21" s="22">
        <v>10</v>
      </c>
      <c r="D21" s="22">
        <v>9</v>
      </c>
      <c r="E21" s="22">
        <v>5</v>
      </c>
      <c r="F21" s="22"/>
      <c r="G21" s="17">
        <f t="shared" si="0"/>
        <v>24</v>
      </c>
      <c r="H21" s="23">
        <f t="shared" si="1"/>
        <v>98</v>
      </c>
      <c r="I21" s="30">
        <f t="shared" si="2"/>
        <v>19.6</v>
      </c>
      <c r="J21" s="17">
        <v>0</v>
      </c>
      <c r="K21" s="22"/>
      <c r="L21" s="22">
        <v>25</v>
      </c>
      <c r="M21" s="22">
        <v>25</v>
      </c>
      <c r="N21" s="22">
        <v>25</v>
      </c>
      <c r="O21" s="22">
        <v>25</v>
      </c>
      <c r="P21" s="17">
        <f t="shared" si="3"/>
        <v>100</v>
      </c>
      <c r="Q21" s="23">
        <f t="shared" si="4"/>
        <v>100</v>
      </c>
      <c r="R21" s="30">
        <f t="shared" si="5"/>
        <v>30</v>
      </c>
      <c r="S21" s="17"/>
      <c r="T21" s="23">
        <f t="shared" si="6"/>
        <v>50</v>
      </c>
      <c r="U21" s="30">
        <f t="shared" si="7"/>
        <v>25</v>
      </c>
      <c r="V21" s="23">
        <f t="shared" si="8"/>
        <v>74.6</v>
      </c>
      <c r="W21" s="41" t="s">
        <v>27</v>
      </c>
      <c r="X21" s="42" t="s">
        <v>27</v>
      </c>
      <c r="Y21" s="42" t="s">
        <v>27</v>
      </c>
      <c r="Z21" s="42"/>
      <c r="AA21" s="42"/>
      <c r="AB21" s="42"/>
      <c r="AC21" s="42"/>
      <c r="AD21" s="42"/>
      <c r="AE21" s="42">
        <v>1.5</v>
      </c>
      <c r="AF21" s="50">
        <v>1</v>
      </c>
      <c r="AG21" s="56">
        <v>1</v>
      </c>
      <c r="AH21" s="50">
        <v>1</v>
      </c>
      <c r="AI21" s="50">
        <v>1</v>
      </c>
      <c r="AJ21" s="54">
        <v>1</v>
      </c>
      <c r="AK21" s="55">
        <f t="shared" si="9"/>
        <v>5</v>
      </c>
    </row>
    <row r="22" spans="1:37">
      <c r="A22" s="20">
        <v>7</v>
      </c>
      <c r="B22" s="21" t="s">
        <v>34</v>
      </c>
      <c r="C22" s="22">
        <v>10</v>
      </c>
      <c r="D22" s="22">
        <v>10</v>
      </c>
      <c r="E22" s="22">
        <v>4</v>
      </c>
      <c r="F22" s="22"/>
      <c r="G22" s="17">
        <f t="shared" si="0"/>
        <v>24</v>
      </c>
      <c r="H22" s="23">
        <f t="shared" si="1"/>
        <v>98</v>
      </c>
      <c r="I22" s="30">
        <f t="shared" si="2"/>
        <v>19.6</v>
      </c>
      <c r="J22" s="17">
        <v>0</v>
      </c>
      <c r="K22" s="22"/>
      <c r="L22" s="22">
        <v>25</v>
      </c>
      <c r="M22" s="22">
        <v>25</v>
      </c>
      <c r="N22" s="22">
        <v>25</v>
      </c>
      <c r="O22" s="22">
        <v>25</v>
      </c>
      <c r="P22" s="17">
        <f t="shared" si="3"/>
        <v>100</v>
      </c>
      <c r="Q22" s="23">
        <f t="shared" si="4"/>
        <v>100</v>
      </c>
      <c r="R22" s="30">
        <f t="shared" si="5"/>
        <v>30</v>
      </c>
      <c r="S22" s="17"/>
      <c r="T22" s="23">
        <f t="shared" si="6"/>
        <v>50</v>
      </c>
      <c r="U22" s="30">
        <f t="shared" si="7"/>
        <v>25</v>
      </c>
      <c r="V22" s="23">
        <f t="shared" si="8"/>
        <v>74.6</v>
      </c>
      <c r="W22" s="41" t="s">
        <v>27</v>
      </c>
      <c r="X22" s="42" t="s">
        <v>27</v>
      </c>
      <c r="Y22" s="42" t="s">
        <v>27</v>
      </c>
      <c r="Z22" s="42"/>
      <c r="AA22" s="42"/>
      <c r="AB22" s="42"/>
      <c r="AC22" s="42"/>
      <c r="AD22" s="42"/>
      <c r="AE22" s="42"/>
      <c r="AF22" s="49"/>
      <c r="AG22" s="56">
        <v>1</v>
      </c>
      <c r="AH22" s="50">
        <v>1</v>
      </c>
      <c r="AI22" s="50">
        <v>1</v>
      </c>
      <c r="AJ22" s="54">
        <v>1</v>
      </c>
      <c r="AK22" s="55">
        <f t="shared" si="9"/>
        <v>4</v>
      </c>
    </row>
    <row r="23" spans="1:37">
      <c r="A23" s="20">
        <v>8</v>
      </c>
      <c r="B23" s="21" t="s">
        <v>35</v>
      </c>
      <c r="C23" s="22">
        <v>0</v>
      </c>
      <c r="D23" s="22">
        <v>0</v>
      </c>
      <c r="E23" s="22">
        <v>1</v>
      </c>
      <c r="F23" s="22"/>
      <c r="G23" s="17">
        <f t="shared" si="0"/>
        <v>1</v>
      </c>
      <c r="H23" s="23">
        <f t="shared" si="1"/>
        <v>52</v>
      </c>
      <c r="I23" s="30">
        <f t="shared" si="2"/>
        <v>10.4</v>
      </c>
      <c r="J23" s="17">
        <v>0</v>
      </c>
      <c r="K23" s="22"/>
      <c r="L23" s="22">
        <v>25</v>
      </c>
      <c r="M23" s="22">
        <v>25</v>
      </c>
      <c r="N23" s="22">
        <v>25</v>
      </c>
      <c r="O23" s="22">
        <v>25</v>
      </c>
      <c r="P23" s="17">
        <f t="shared" si="3"/>
        <v>100</v>
      </c>
      <c r="Q23" s="23">
        <f t="shared" si="4"/>
        <v>100</v>
      </c>
      <c r="R23" s="30">
        <f t="shared" si="5"/>
        <v>30</v>
      </c>
      <c r="S23" s="17"/>
      <c r="T23" s="23">
        <f t="shared" si="6"/>
        <v>50</v>
      </c>
      <c r="U23" s="30">
        <f t="shared" si="7"/>
        <v>25</v>
      </c>
      <c r="V23" s="23">
        <f t="shared" si="8"/>
        <v>65.4</v>
      </c>
      <c r="W23" s="41"/>
      <c r="X23" s="42" t="s">
        <v>36</v>
      </c>
      <c r="Y23" s="42"/>
      <c r="Z23" s="42"/>
      <c r="AA23" s="42"/>
      <c r="AB23" s="42"/>
      <c r="AC23" s="42"/>
      <c r="AD23" s="42"/>
      <c r="AE23" s="42">
        <v>1.5</v>
      </c>
      <c r="AF23" s="49"/>
      <c r="AG23" s="49"/>
      <c r="AH23" s="49"/>
      <c r="AI23" s="49"/>
      <c r="AJ23" s="54">
        <v>1</v>
      </c>
      <c r="AK23" s="55">
        <f t="shared" si="9"/>
        <v>1</v>
      </c>
    </row>
    <row r="24" spans="1:37">
      <c r="A24" s="20">
        <v>9</v>
      </c>
      <c r="B24" s="21" t="s">
        <v>37</v>
      </c>
      <c r="C24" s="22">
        <v>10</v>
      </c>
      <c r="D24" s="22">
        <v>10</v>
      </c>
      <c r="E24" s="22">
        <v>5</v>
      </c>
      <c r="F24" s="22"/>
      <c r="G24" s="17">
        <f t="shared" si="0"/>
        <v>25</v>
      </c>
      <c r="H24" s="23">
        <f t="shared" si="1"/>
        <v>100</v>
      </c>
      <c r="I24" s="30">
        <f t="shared" si="2"/>
        <v>20</v>
      </c>
      <c r="J24" s="17">
        <v>0</v>
      </c>
      <c r="K24" s="22"/>
      <c r="L24" s="22">
        <v>25</v>
      </c>
      <c r="M24" s="22">
        <v>25</v>
      </c>
      <c r="N24" s="22">
        <v>25</v>
      </c>
      <c r="O24" s="22">
        <v>25</v>
      </c>
      <c r="P24" s="17">
        <f t="shared" si="3"/>
        <v>100</v>
      </c>
      <c r="Q24" s="23">
        <f t="shared" si="4"/>
        <v>100</v>
      </c>
      <c r="R24" s="30">
        <f t="shared" si="5"/>
        <v>30</v>
      </c>
      <c r="S24" s="17"/>
      <c r="T24" s="23">
        <f t="shared" si="6"/>
        <v>50</v>
      </c>
      <c r="U24" s="30">
        <f t="shared" si="7"/>
        <v>25</v>
      </c>
      <c r="V24" s="23">
        <f t="shared" si="8"/>
        <v>75</v>
      </c>
      <c r="W24" s="41" t="s">
        <v>29</v>
      </c>
      <c r="X24" s="42" t="s">
        <v>29</v>
      </c>
      <c r="Y24" s="42"/>
      <c r="Z24" s="42"/>
      <c r="AA24" s="42"/>
      <c r="AB24" s="42"/>
      <c r="AC24" s="42"/>
      <c r="AD24" s="42"/>
      <c r="AE24" s="42"/>
      <c r="AF24" s="50">
        <v>1</v>
      </c>
      <c r="AG24" s="56">
        <v>1</v>
      </c>
      <c r="AH24" s="50">
        <v>1</v>
      </c>
      <c r="AI24" s="50">
        <v>1</v>
      </c>
      <c r="AJ24" s="54">
        <v>1</v>
      </c>
      <c r="AK24" s="55">
        <f t="shared" si="9"/>
        <v>5</v>
      </c>
    </row>
    <row r="25" spans="1:37">
      <c r="A25" s="20">
        <v>10</v>
      </c>
      <c r="B25" s="21" t="s">
        <v>38</v>
      </c>
      <c r="C25" s="22">
        <v>10</v>
      </c>
      <c r="D25" s="22">
        <v>5</v>
      </c>
      <c r="E25" s="22">
        <v>3</v>
      </c>
      <c r="F25" s="22"/>
      <c r="G25" s="17">
        <f t="shared" si="0"/>
        <v>18</v>
      </c>
      <c r="H25" s="23">
        <f t="shared" si="1"/>
        <v>86</v>
      </c>
      <c r="I25" s="30">
        <f t="shared" si="2"/>
        <v>17.2</v>
      </c>
      <c r="J25" s="17">
        <v>0</v>
      </c>
      <c r="K25" s="22"/>
      <c r="L25" s="22">
        <v>25</v>
      </c>
      <c r="M25" s="22">
        <v>25</v>
      </c>
      <c r="N25" s="22">
        <v>25</v>
      </c>
      <c r="O25" s="22">
        <v>25</v>
      </c>
      <c r="P25" s="17">
        <f t="shared" si="3"/>
        <v>100</v>
      </c>
      <c r="Q25" s="23">
        <f t="shared" si="4"/>
        <v>100</v>
      </c>
      <c r="R25" s="30">
        <f t="shared" si="5"/>
        <v>30</v>
      </c>
      <c r="S25" s="17"/>
      <c r="T25" s="23">
        <f t="shared" si="6"/>
        <v>50</v>
      </c>
      <c r="U25" s="30">
        <f t="shared" si="7"/>
        <v>25</v>
      </c>
      <c r="V25" s="23">
        <f t="shared" si="8"/>
        <v>72.2</v>
      </c>
      <c r="W25" s="41"/>
      <c r="X25" s="42" t="s">
        <v>27</v>
      </c>
      <c r="Y25" s="42"/>
      <c r="Z25" s="42"/>
      <c r="AA25" s="42"/>
      <c r="AB25" s="42"/>
      <c r="AC25" s="42"/>
      <c r="AD25" s="42"/>
      <c r="AE25" s="42"/>
      <c r="AF25" s="50">
        <v>1</v>
      </c>
      <c r="AG25" s="56">
        <v>1</v>
      </c>
      <c r="AH25" s="49"/>
      <c r="AI25" s="49"/>
      <c r="AJ25" s="54">
        <v>1</v>
      </c>
      <c r="AK25" s="55">
        <f t="shared" si="9"/>
        <v>3</v>
      </c>
    </row>
    <row r="26" spans="1:37">
      <c r="A26" s="20">
        <v>11</v>
      </c>
      <c r="B26" s="21" t="s">
        <v>39</v>
      </c>
      <c r="C26" s="22">
        <v>10</v>
      </c>
      <c r="D26" s="22">
        <v>5</v>
      </c>
      <c r="E26" s="22">
        <v>4</v>
      </c>
      <c r="F26" s="22"/>
      <c r="G26" s="17">
        <f t="shared" si="0"/>
        <v>19</v>
      </c>
      <c r="H26" s="23">
        <f t="shared" si="1"/>
        <v>88</v>
      </c>
      <c r="I26" s="30">
        <f t="shared" si="2"/>
        <v>17.6</v>
      </c>
      <c r="J26" s="17">
        <v>0</v>
      </c>
      <c r="K26" s="22"/>
      <c r="L26" s="22">
        <v>25</v>
      </c>
      <c r="M26" s="22">
        <v>25</v>
      </c>
      <c r="N26" s="22">
        <v>25</v>
      </c>
      <c r="O26" s="22">
        <v>25</v>
      </c>
      <c r="P26" s="17">
        <f t="shared" si="3"/>
        <v>100</v>
      </c>
      <c r="Q26" s="23">
        <f t="shared" si="4"/>
        <v>100</v>
      </c>
      <c r="R26" s="30">
        <f t="shared" si="5"/>
        <v>30</v>
      </c>
      <c r="S26" s="17"/>
      <c r="T26" s="23">
        <f t="shared" si="6"/>
        <v>50</v>
      </c>
      <c r="U26" s="30">
        <f t="shared" si="7"/>
        <v>25</v>
      </c>
      <c r="V26" s="23">
        <f t="shared" si="8"/>
        <v>72.6</v>
      </c>
      <c r="W26" s="41" t="s">
        <v>27</v>
      </c>
      <c r="X26" s="42" t="s">
        <v>27</v>
      </c>
      <c r="Y26" s="42"/>
      <c r="Z26" s="42"/>
      <c r="AA26" s="42"/>
      <c r="AB26" s="42"/>
      <c r="AC26" s="42"/>
      <c r="AD26" s="42"/>
      <c r="AE26" s="42"/>
      <c r="AF26" s="50">
        <v>1</v>
      </c>
      <c r="AG26" s="56">
        <v>1</v>
      </c>
      <c r="AH26" s="50">
        <v>1</v>
      </c>
      <c r="AI26" s="49"/>
      <c r="AJ26" s="54">
        <v>1</v>
      </c>
      <c r="AK26" s="55">
        <f t="shared" si="9"/>
        <v>4</v>
      </c>
    </row>
    <row r="27" spans="1:37">
      <c r="A27" s="20">
        <v>12</v>
      </c>
      <c r="B27" s="21" t="s">
        <v>40</v>
      </c>
      <c r="C27" s="22">
        <v>10</v>
      </c>
      <c r="D27" s="22">
        <v>5</v>
      </c>
      <c r="E27" s="22">
        <v>4</v>
      </c>
      <c r="F27" s="22"/>
      <c r="G27" s="17">
        <f t="shared" si="0"/>
        <v>19</v>
      </c>
      <c r="H27" s="23">
        <f t="shared" si="1"/>
        <v>88</v>
      </c>
      <c r="I27" s="30">
        <f t="shared" si="2"/>
        <v>17.6</v>
      </c>
      <c r="J27" s="17">
        <v>0</v>
      </c>
      <c r="K27" s="22"/>
      <c r="L27" s="22">
        <v>25</v>
      </c>
      <c r="M27" s="22">
        <v>25</v>
      </c>
      <c r="N27" s="22">
        <v>25</v>
      </c>
      <c r="O27" s="22">
        <v>25</v>
      </c>
      <c r="P27" s="17">
        <f t="shared" si="3"/>
        <v>100</v>
      </c>
      <c r="Q27" s="23">
        <f t="shared" si="4"/>
        <v>100</v>
      </c>
      <c r="R27" s="30">
        <f t="shared" si="5"/>
        <v>30</v>
      </c>
      <c r="S27" s="17"/>
      <c r="T27" s="23">
        <f t="shared" si="6"/>
        <v>50</v>
      </c>
      <c r="U27" s="30">
        <f t="shared" si="7"/>
        <v>25</v>
      </c>
      <c r="V27" s="23">
        <f t="shared" si="8"/>
        <v>72.6</v>
      </c>
      <c r="W27" s="41" t="s">
        <v>29</v>
      </c>
      <c r="X27" s="42" t="s">
        <v>27</v>
      </c>
      <c r="Y27" s="42"/>
      <c r="Z27" s="42"/>
      <c r="AA27" s="42"/>
      <c r="AB27" s="42"/>
      <c r="AC27" s="42"/>
      <c r="AD27" s="42"/>
      <c r="AE27" s="42"/>
      <c r="AF27" s="49"/>
      <c r="AG27" s="56">
        <v>1</v>
      </c>
      <c r="AH27" s="50">
        <v>1</v>
      </c>
      <c r="AI27" s="50">
        <v>1</v>
      </c>
      <c r="AJ27" s="54">
        <v>1</v>
      </c>
      <c r="AK27" s="55">
        <f t="shared" si="9"/>
        <v>4</v>
      </c>
    </row>
    <row r="28" spans="1:37">
      <c r="A28" s="20">
        <v>13</v>
      </c>
      <c r="B28" s="21" t="s">
        <v>41</v>
      </c>
      <c r="C28" s="22">
        <v>7</v>
      </c>
      <c r="D28" s="22">
        <v>7</v>
      </c>
      <c r="E28" s="22">
        <v>5</v>
      </c>
      <c r="F28" s="22"/>
      <c r="G28" s="17">
        <f t="shared" si="0"/>
        <v>19</v>
      </c>
      <c r="H28" s="23">
        <f t="shared" si="1"/>
        <v>88</v>
      </c>
      <c r="I28" s="30">
        <f t="shared" si="2"/>
        <v>17.6</v>
      </c>
      <c r="J28" s="17">
        <v>0</v>
      </c>
      <c r="K28" s="22"/>
      <c r="L28" s="22">
        <v>25</v>
      </c>
      <c r="M28" s="22">
        <v>25</v>
      </c>
      <c r="N28" s="22">
        <v>25</v>
      </c>
      <c r="O28" s="22">
        <v>25</v>
      </c>
      <c r="P28" s="17">
        <f t="shared" si="3"/>
        <v>100</v>
      </c>
      <c r="Q28" s="23">
        <f t="shared" si="4"/>
        <v>100</v>
      </c>
      <c r="R28" s="30">
        <f t="shared" si="5"/>
        <v>30</v>
      </c>
      <c r="S28" s="17"/>
      <c r="T28" s="23">
        <f t="shared" si="6"/>
        <v>50</v>
      </c>
      <c r="U28" s="30">
        <f t="shared" si="7"/>
        <v>25</v>
      </c>
      <c r="V28" s="23">
        <f t="shared" si="8"/>
        <v>72.6</v>
      </c>
      <c r="W28" s="41"/>
      <c r="X28" s="42" t="s">
        <v>36</v>
      </c>
      <c r="Y28" s="42"/>
      <c r="Z28" s="42"/>
      <c r="AA28" s="42"/>
      <c r="AB28" s="42"/>
      <c r="AC28" s="42"/>
      <c r="AD28" s="42"/>
      <c r="AE28" s="42"/>
      <c r="AF28" s="49"/>
      <c r="AG28" s="56">
        <v>1</v>
      </c>
      <c r="AH28" s="50">
        <v>1</v>
      </c>
      <c r="AI28" s="50">
        <v>1</v>
      </c>
      <c r="AJ28" s="54">
        <v>1</v>
      </c>
      <c r="AK28" s="55">
        <f t="shared" si="9"/>
        <v>4</v>
      </c>
    </row>
    <row r="29" spans="1:37">
      <c r="A29" s="20">
        <v>14</v>
      </c>
      <c r="B29" s="21" t="s">
        <v>42</v>
      </c>
      <c r="C29" s="22">
        <v>0</v>
      </c>
      <c r="D29" s="22">
        <v>0</v>
      </c>
      <c r="E29" s="22">
        <v>0</v>
      </c>
      <c r="F29" s="22"/>
      <c r="G29" s="17">
        <f t="shared" si="0"/>
        <v>0</v>
      </c>
      <c r="H29" s="23">
        <f t="shared" si="1"/>
        <v>50</v>
      </c>
      <c r="I29" s="30">
        <f t="shared" si="2"/>
        <v>10</v>
      </c>
      <c r="J29" s="17">
        <v>0</v>
      </c>
      <c r="K29" s="22"/>
      <c r="L29" s="22">
        <v>0</v>
      </c>
      <c r="M29" s="22">
        <v>0</v>
      </c>
      <c r="N29" s="22">
        <v>0</v>
      </c>
      <c r="O29" s="22">
        <v>0</v>
      </c>
      <c r="P29" s="17">
        <f t="shared" si="3"/>
        <v>0</v>
      </c>
      <c r="Q29" s="23">
        <f t="shared" si="4"/>
        <v>50</v>
      </c>
      <c r="R29" s="30">
        <f t="shared" si="5"/>
        <v>15</v>
      </c>
      <c r="S29" s="17"/>
      <c r="T29" s="23">
        <f t="shared" si="6"/>
        <v>50</v>
      </c>
      <c r="U29" s="30">
        <f t="shared" si="7"/>
        <v>25</v>
      </c>
      <c r="V29" s="23">
        <f t="shared" si="8"/>
        <v>50</v>
      </c>
      <c r="W29" s="41" t="s">
        <v>27</v>
      </c>
      <c r="X29" s="42" t="s">
        <v>27</v>
      </c>
      <c r="Y29" s="42"/>
      <c r="Z29" s="42"/>
      <c r="AA29" s="42"/>
      <c r="AB29" s="42"/>
      <c r="AC29" s="42"/>
      <c r="AD29" s="42"/>
      <c r="AE29" s="42"/>
      <c r="AF29" s="49"/>
      <c r="AG29" s="49"/>
      <c r="AH29" s="49"/>
      <c r="AI29" s="49"/>
      <c r="AJ29" s="57"/>
      <c r="AK29" s="55">
        <f t="shared" si="9"/>
        <v>0</v>
      </c>
    </row>
    <row r="30" spans="1:37">
      <c r="A30" s="20">
        <v>15</v>
      </c>
      <c r="B30" s="21" t="s">
        <v>43</v>
      </c>
      <c r="C30" s="22">
        <v>10</v>
      </c>
      <c r="D30" s="22">
        <v>5</v>
      </c>
      <c r="E30" s="22">
        <v>5</v>
      </c>
      <c r="F30" s="22"/>
      <c r="G30" s="17">
        <f t="shared" si="0"/>
        <v>20</v>
      </c>
      <c r="H30" s="23">
        <f t="shared" si="1"/>
        <v>90</v>
      </c>
      <c r="I30" s="30">
        <f t="shared" si="2"/>
        <v>18</v>
      </c>
      <c r="J30" s="17">
        <v>0</v>
      </c>
      <c r="K30" s="22"/>
      <c r="L30" s="22">
        <v>25</v>
      </c>
      <c r="M30" s="22">
        <v>25</v>
      </c>
      <c r="N30" s="22">
        <v>25</v>
      </c>
      <c r="O30" s="22">
        <v>25</v>
      </c>
      <c r="P30" s="17">
        <f t="shared" si="3"/>
        <v>100</v>
      </c>
      <c r="Q30" s="23">
        <f t="shared" si="4"/>
        <v>100</v>
      </c>
      <c r="R30" s="30">
        <f t="shared" si="5"/>
        <v>30</v>
      </c>
      <c r="S30" s="17"/>
      <c r="T30" s="23">
        <f t="shared" si="6"/>
        <v>50</v>
      </c>
      <c r="U30" s="30">
        <f t="shared" si="7"/>
        <v>25</v>
      </c>
      <c r="V30" s="23">
        <f t="shared" si="8"/>
        <v>73</v>
      </c>
      <c r="W30" s="41" t="s">
        <v>27</v>
      </c>
      <c r="X30" s="42" t="s">
        <v>27</v>
      </c>
      <c r="Y30" s="42" t="s">
        <v>27</v>
      </c>
      <c r="Z30" s="42"/>
      <c r="AA30" s="42"/>
      <c r="AB30" s="42"/>
      <c r="AC30" s="42"/>
      <c r="AD30" s="42"/>
      <c r="AE30" s="42"/>
      <c r="AF30" s="50">
        <v>1</v>
      </c>
      <c r="AG30" s="56">
        <v>1</v>
      </c>
      <c r="AH30" s="50">
        <v>1</v>
      </c>
      <c r="AI30" s="50">
        <v>1</v>
      </c>
      <c r="AJ30" s="54">
        <v>1</v>
      </c>
      <c r="AK30" s="55">
        <f t="shared" si="9"/>
        <v>5</v>
      </c>
    </row>
    <row r="31" s="2" customFormat="1" ht="40.2" customHeight="1" spans="23:23">
      <c r="W31" s="8"/>
    </row>
    <row r="32" s="3" customFormat="1" ht="40.2" customHeight="1" spans="23:23">
      <c r="W32" s="8"/>
    </row>
    <row r="33" s="3" customFormat="1" ht="40.2" customHeight="1" spans="23:23">
      <c r="W33" s="8"/>
    </row>
    <row r="34" s="3" customFormat="1" ht="40.2" customHeight="1" spans="23:23">
      <c r="W34" s="8"/>
    </row>
    <row r="35" s="3" customFormat="1" ht="40.2" customHeight="1" spans="1:23">
      <c r="A35" s="24"/>
      <c r="B35" s="25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7"/>
      <c r="W35" s="8"/>
    </row>
    <row r="36" s="3" customFormat="1" ht="40.2" customHeight="1" spans="1:23">
      <c r="A36" s="24"/>
      <c r="B36" s="25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7"/>
      <c r="W36" s="8"/>
    </row>
    <row r="37" s="3" customFormat="1" ht="40.2" customHeight="1" spans="1:23">
      <c r="A37" s="24"/>
      <c r="B37" s="25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7"/>
      <c r="W37" s="8"/>
    </row>
    <row r="38" s="3" customFormat="1" ht="40.2" customHeight="1" spans="1:23">
      <c r="A38" s="24"/>
      <c r="B38" s="25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7"/>
      <c r="W38" s="8"/>
    </row>
    <row r="39" s="3" customFormat="1" ht="40.2" customHeight="1" spans="1:23">
      <c r="A39" s="24"/>
      <c r="B39" s="25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7"/>
      <c r="W39" s="8"/>
    </row>
    <row r="40" s="3" customFormat="1" ht="40.2" customHeight="1" spans="1:23">
      <c r="A40" s="24"/>
      <c r="B40" s="25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7"/>
      <c r="W40" s="8"/>
    </row>
    <row r="41" s="3" customFormat="1" ht="40.2" customHeight="1" spans="1:23">
      <c r="A41" s="24"/>
      <c r="B41" s="25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7"/>
      <c r="W41" s="8"/>
    </row>
  </sheetData>
  <mergeCells count="17">
    <mergeCell ref="A3:V3"/>
    <mergeCell ref="A4:V4"/>
    <mergeCell ref="A6:V6"/>
    <mergeCell ref="A8:V8"/>
    <mergeCell ref="A9:V9"/>
    <mergeCell ref="A10:V10"/>
    <mergeCell ref="C13:H13"/>
    <mergeCell ref="J13:Q13"/>
    <mergeCell ref="S13:T13"/>
    <mergeCell ref="A13:A15"/>
    <mergeCell ref="B13:B15"/>
    <mergeCell ref="I13:I14"/>
    <mergeCell ref="R13:R14"/>
    <mergeCell ref="U13:U14"/>
    <mergeCell ref="V13:V14"/>
    <mergeCell ref="W13:AD14"/>
    <mergeCell ref="AE13:AK14"/>
  </mergeCells>
  <conditionalFormatting sqref="H16:H30">
    <cfRule type="cellIs" dxfId="0" priority="1" operator="lessThan">
      <formula>75</formula>
    </cfRule>
  </conditionalFormatting>
  <conditionalFormatting sqref="Q16:Q30">
    <cfRule type="cellIs" dxfId="0" priority="3" operator="lessThan">
      <formula>75</formula>
    </cfRule>
  </conditionalFormatting>
  <conditionalFormatting sqref="T16:T30">
    <cfRule type="cellIs" dxfId="0" priority="2" operator="lessThan">
      <formula>75</formula>
    </cfRule>
  </conditionalFormatting>
  <conditionalFormatting sqref="V16:V30">
    <cfRule type="cellIs" dxfId="0" priority="4" operator="lessThan">
      <formula>75</formula>
    </cfRule>
  </conditionalFormatting>
  <dataValidations count="2">
    <dataValidation type="decimal" operator="between" allowBlank="1" showInputMessage="1" showErrorMessage="1" errorTitle="Invalid Entry" error="Data entered is greater/less than the number of items." sqref="J16:J30">
      <formula1>0</formula1>
      <formula2>$X$8</formula2>
    </dataValidation>
    <dataValidation type="decimal" operator="between" allowBlank="1" showInputMessage="1" showErrorMessage="1" errorTitle="Invalid Entry" error="Data entered is greater/less than the number of items." sqref="S16:S30">
      <formula1>0</formula1>
      <formula2>$AI$8</formula2>
    </dataValidation>
  </dataValidations>
  <printOptions horizontalCentered="1"/>
  <pageMargins left="0.25" right="0.25" top="0.25" bottom="0.25" header="0.3" footer="0.3"/>
  <pageSetup paperSize="1" scale="19" orientation="portrait" horizontalDpi="360" verticalDpi="36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Prelim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layco</dc:creator>
  <cp:lastModifiedBy>Reijus Cruz</cp:lastModifiedBy>
  <dcterms:created xsi:type="dcterms:W3CDTF">2026-04-09T09:52:00Z</dcterms:created>
  <dcterms:modified xsi:type="dcterms:W3CDTF">2026-04-09T13:06:03Z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B84FF84239A64B77B938AAE525916C07_13</vt:lpwstr>
  </property>
  <property fmtid="{D5CDD505-2E9C-101B-9397-08002B2CF9AE}" pid="3" name="KSOProductBuildVer">
    <vt:lpwstr>1033-12.2.0.23155</vt:lpwstr>
  </property>
</Properties>
</file>