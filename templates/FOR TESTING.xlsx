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Prelim" sheetId="2" r:id="rId1"/>
    <sheet name="Sheet1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layco</author>
  </authors>
  <commentList>
    <comment ref="AF3" authorId="0">
      <text>
        <r>
          <rPr>
            <b/>
            <sz val="14"/>
            <rFont val="Arial"/>
            <charset val="0"/>
          </rPr>
          <t>1:00pm - 4:00pm</t>
        </r>
        <r>
          <rPr>
            <sz val="9"/>
            <rFont val="Times New Roman"/>
            <charset val="0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<sst xmlns="http://schemas.openxmlformats.org/spreadsheetml/2006/main" count="128" uniqueCount="54">
  <si>
    <t>NO.</t>
  </si>
  <si>
    <t>NAME</t>
  </si>
  <si>
    <t>CLASS STANDING</t>
  </si>
  <si>
    <t>TASK PERFORMANCE</t>
  </si>
  <si>
    <t>EXAMINATION</t>
  </si>
  <si>
    <t>PRELIM GRADE</t>
  </si>
  <si>
    <t>ATTENDANCE</t>
  </si>
  <si>
    <t>QUIZ</t>
  </si>
  <si>
    <t>AT</t>
  </si>
  <si>
    <t>S1</t>
  </si>
  <si>
    <t>TOTAL</t>
  </si>
  <si>
    <t>EQUIV</t>
  </si>
  <si>
    <t>RPT</t>
  </si>
  <si>
    <t>A3</t>
  </si>
  <si>
    <t>LAB A1</t>
  </si>
  <si>
    <t>LAB A2</t>
  </si>
  <si>
    <t>LAB A3</t>
  </si>
  <si>
    <t xml:space="preserve"> LAB A4</t>
  </si>
  <si>
    <t>SCORE</t>
  </si>
  <si>
    <t>ANTOLO,  PAUL ANDRE</t>
  </si>
  <si>
    <t>P</t>
  </si>
  <si>
    <t>ARELLANO,  HERO LLOYD</t>
  </si>
  <si>
    <t>p</t>
  </si>
  <si>
    <t>BATISLA-ON,  JOHN NICO LAWRENCE</t>
  </si>
  <si>
    <t>CARVAJAL,  RASHEED</t>
  </si>
  <si>
    <t>CELIS,  JOHN MICHAEL</t>
  </si>
  <si>
    <t>DE ASIS,  SAMANTHA</t>
  </si>
  <si>
    <t>DECREPITO,  KEVIN</t>
  </si>
  <si>
    <t>DELAGAO,  REYDIAN</t>
  </si>
  <si>
    <t>L</t>
  </si>
  <si>
    <t>DEPALUBOS,  OMEGA JIRAH</t>
  </si>
  <si>
    <t>EDAÑO,  KYL REMIEL</t>
  </si>
  <si>
    <t>ESTORCO,  EMMANUEL KAY JOHN</t>
  </si>
  <si>
    <t>FETALINO,  CIVREL MARLYNETTE</t>
  </si>
  <si>
    <t>FRANCISCO, SHANE</t>
  </si>
  <si>
    <t>GARBO,  JUDITH</t>
  </si>
  <si>
    <t>GENOVIA,  BENNIE</t>
  </si>
  <si>
    <t>GINETE,  MOISES</t>
  </si>
  <si>
    <t>GLARAGA,  GLATE MARIE</t>
  </si>
  <si>
    <t>GLEYO,  JOHN GODFREY</t>
  </si>
  <si>
    <t>GONZAGA,  ALJAY</t>
  </si>
  <si>
    <t>MABAYLAN,  JOHN REIDEN</t>
  </si>
  <si>
    <t>MALACA,  REYGEE</t>
  </si>
  <si>
    <t>MANANSALA,  DAVID KIEAN</t>
  </si>
  <si>
    <t>MANDAL,  ZOE NICOLE</t>
  </si>
  <si>
    <t>MARCIANO,  KEVIN NICOLAS</t>
  </si>
  <si>
    <t>MAYORDO,  PRINCE VIC</t>
  </si>
  <si>
    <t>MILLADO.,  SYMER</t>
  </si>
  <si>
    <t>PALMA,  JOHLAN NICOLE</t>
  </si>
  <si>
    <t>PECHA,  CHARLES</t>
  </si>
  <si>
    <t>PENIERO,  JEWIELLE JOHN</t>
  </si>
  <si>
    <t>PERMALES,  SEIGFRED JHON</t>
  </si>
  <si>
    <t>SALANAP,  ALTHEA</t>
  </si>
  <si>
    <t>TUBONGBANUA,  ROCK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</si>
</sst>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  <numFmt numFmtId="176" formatCode="mmm\-yy"/>
    <numFmt numFmtId="177" formatCode="0.0_ "/>
  </numFmts>
  <fonts count="39">
    <font>
      <sz val="11"/>
      <color theme="1"/>
      <name val="Calibri"/>
      <charset val="134"/>
      <scheme val="minor"/>
    </font>
    <font>
      <b/>
      <sz val="25"/>
      <color theme="1"/>
      <name val="Calibri"/>
      <charset val="134"/>
      <scheme val="minor"/>
    </font>
    <font>
      <sz val="25"/>
      <color theme="1"/>
      <name val="Calibri"/>
      <charset val="134"/>
      <scheme val="minor"/>
    </font>
    <font>
      <sz val="36"/>
      <color theme="1"/>
      <name val="Calibri"/>
      <charset val="134"/>
      <scheme val="minor"/>
    </font>
    <font>
      <sz val="15"/>
      <color theme="1"/>
      <name val="Calibri"/>
      <charset val="134"/>
      <scheme val="minor"/>
    </font>
    <font>
      <sz val="40"/>
      <color theme="1"/>
      <name val="Calibri"/>
      <charset val="134"/>
      <scheme val="minor"/>
    </font>
    <font>
      <b/>
      <sz val="28"/>
      <color theme="1"/>
      <name val="Calibri"/>
      <charset val="134"/>
      <scheme val="minor"/>
    </font>
    <font>
      <b/>
      <sz val="36"/>
      <color theme="0"/>
      <name val="Calibri"/>
      <charset val="134"/>
      <scheme val="minor"/>
    </font>
    <font>
      <sz val="30"/>
      <color theme="1"/>
      <name val="Calibri"/>
      <charset val="134"/>
      <scheme val="minor"/>
    </font>
    <font>
      <b/>
      <sz val="26"/>
      <name val="Arial"/>
      <charset val="134"/>
    </font>
    <font>
      <b/>
      <sz val="40"/>
      <color theme="1"/>
      <name val="Calibri"/>
      <charset val="134"/>
      <scheme val="minor"/>
    </font>
    <font>
      <b/>
      <sz val="48"/>
      <color theme="0"/>
      <name val="Calibri"/>
      <charset val="134"/>
      <scheme val="minor"/>
    </font>
    <font>
      <b/>
      <sz val="28"/>
      <name val="Calibri"/>
      <charset val="134"/>
      <scheme val="minor"/>
    </font>
    <font>
      <b/>
      <sz val="72"/>
      <color theme="1"/>
      <name val="Calibri"/>
      <charset val="134"/>
      <scheme val="minor"/>
    </font>
    <font>
      <sz val="40"/>
      <color theme="1"/>
      <name val="Calibri"/>
      <charset val="134"/>
    </font>
    <font>
      <sz val="40"/>
      <name val="Calibri"/>
      <charset val="134"/>
    </font>
    <font>
      <b/>
      <sz val="40"/>
      <color theme="1"/>
      <name val="Calibri"/>
      <charset val="134"/>
    </font>
    <font>
      <b/>
      <sz val="4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4"/>
      <name val="Arial"/>
      <charset val="0"/>
    </font>
    <font>
      <sz val="9"/>
      <name val="Times New Roman"/>
      <charset val="0"/>
    </font>
  </fonts>
  <fills count="43">
    <fill>
      <patternFill patternType="none"/>
    </fill>
    <fill>
      <patternFill patternType="gray125"/>
    </fill>
    <fill>
      <patternFill patternType="solid">
        <fgColor rgb="FF225AA5"/>
        <bgColor indexed="64"/>
      </patternFill>
    </fill>
    <fill>
      <patternFill patternType="solid">
        <fgColor rgb="FFFEF200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01579B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82909634693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13" borderId="10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14" borderId="13" applyNumberFormat="0" applyAlignment="0" applyProtection="0">
      <alignment vertical="center"/>
    </xf>
    <xf numFmtId="0" fontId="27" fillId="15" borderId="14" applyNumberFormat="0" applyAlignment="0" applyProtection="0">
      <alignment vertical="center"/>
    </xf>
    <xf numFmtId="0" fontId="28" fillId="15" borderId="13" applyNumberFormat="0" applyAlignment="0" applyProtection="0">
      <alignment vertical="center"/>
    </xf>
    <xf numFmtId="0" fontId="29" fillId="16" borderId="15" applyNumberFormat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1" fillId="0" borderId="17" applyNumberFormat="0" applyFill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9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0" xfId="0" applyFont="1" applyFill="1" applyAlignment="1">
      <alignment horizontal="center"/>
    </xf>
    <xf numFmtId="0" fontId="2" fillId="0" borderId="0" xfId="0" applyFont="1" applyFill="1" applyAlignment="1"/>
    <xf numFmtId="0" fontId="3" fillId="0" borderId="0" xfId="0" applyFont="1" applyFill="1" applyAlignment="1"/>
    <xf numFmtId="0" fontId="4" fillId="0" borderId="0" xfId="0" applyFont="1" applyFill="1" applyAlignment="1">
      <alignment vertical="center"/>
    </xf>
    <xf numFmtId="0" fontId="4" fillId="0" borderId="0" xfId="0" applyFont="1" applyFill="1" applyAlignment="1">
      <alignment horizontal="left" vertical="center"/>
    </xf>
    <xf numFmtId="0" fontId="4" fillId="0" borderId="0" xfId="0" applyFont="1" applyFill="1" applyAlignment="1">
      <alignment horizontal="center" vertical="center"/>
    </xf>
    <xf numFmtId="0" fontId="5" fillId="0" borderId="0" xfId="0" applyFont="1" applyFill="1" applyAlignment="1"/>
    <xf numFmtId="0" fontId="6" fillId="0" borderId="0" xfId="0" applyFont="1" applyFill="1" applyAlignment="1"/>
    <xf numFmtId="0" fontId="4" fillId="0" borderId="0" xfId="0" applyFont="1" applyFill="1" applyAlignment="1"/>
    <xf numFmtId="0" fontId="4" fillId="0" borderId="0" xfId="0" applyFont="1" applyAlignment="1"/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left" vertical="center"/>
    </xf>
    <xf numFmtId="9" fontId="1" fillId="3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2" fontId="1" fillId="4" borderId="1" xfId="0" applyNumberFormat="1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 applyProtection="1">
      <protection locked="0"/>
    </xf>
    <xf numFmtId="0" fontId="2" fillId="0" borderId="1" xfId="0" applyFont="1" applyFill="1" applyBorder="1" applyAlignment="1">
      <alignment horizontal="center" vertical="center"/>
    </xf>
    <xf numFmtId="2" fontId="10" fillId="0" borderId="1" xfId="0" applyNumberFormat="1" applyFont="1" applyFill="1" applyBorder="1" applyAlignment="1">
      <alignment horizontal="center" vertical="center"/>
    </xf>
    <xf numFmtId="2" fontId="1" fillId="0" borderId="1" xfId="0" applyNumberFormat="1" applyFont="1" applyFill="1" applyBorder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2" fontId="1" fillId="6" borderId="1" xfId="0" applyNumberFormat="1" applyFont="1" applyFill="1" applyBorder="1" applyAlignment="1">
      <alignment horizontal="center" vertical="center"/>
    </xf>
    <xf numFmtId="9" fontId="1" fillId="3" borderId="2" xfId="0" applyNumberFormat="1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/>
    </xf>
    <xf numFmtId="9" fontId="1" fillId="3" borderId="3" xfId="0" applyNumberFormat="1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 wrapText="1"/>
    </xf>
    <xf numFmtId="2" fontId="10" fillId="6" borderId="1" xfId="0" applyNumberFormat="1" applyFont="1" applyFill="1" applyBorder="1" applyAlignment="1">
      <alignment horizontal="center" vertical="center"/>
    </xf>
    <xf numFmtId="176" fontId="12" fillId="8" borderId="1" xfId="0" applyNumberFormat="1" applyFont="1" applyFill="1" applyBorder="1" applyAlignment="1"/>
    <xf numFmtId="0" fontId="11" fillId="8" borderId="1" xfId="0" applyFont="1" applyFill="1" applyBorder="1" applyAlignment="1"/>
    <xf numFmtId="0" fontId="6" fillId="0" borderId="1" xfId="0" applyFont="1" applyFill="1" applyBorder="1" applyAlignment="1"/>
    <xf numFmtId="0" fontId="4" fillId="0" borderId="1" xfId="0" applyFont="1" applyFill="1" applyBorder="1" applyAlignment="1"/>
    <xf numFmtId="0" fontId="6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13" fillId="9" borderId="4" xfId="0" applyFont="1" applyFill="1" applyBorder="1" applyAlignment="1">
      <alignment horizontal="center"/>
    </xf>
    <xf numFmtId="0" fontId="13" fillId="9" borderId="5" xfId="0" applyFont="1" applyFill="1" applyBorder="1" applyAlignment="1">
      <alignment horizontal="center"/>
    </xf>
    <xf numFmtId="0" fontId="13" fillId="9" borderId="6" xfId="0" applyFont="1" applyFill="1" applyBorder="1" applyAlignment="1">
      <alignment horizontal="center"/>
    </xf>
    <xf numFmtId="0" fontId="13" fillId="9" borderId="7" xfId="0" applyFont="1" applyFill="1" applyBorder="1" applyAlignment="1">
      <alignment horizontal="center"/>
    </xf>
    <xf numFmtId="58" fontId="1" fillId="0" borderId="1" xfId="0" applyNumberFormat="1" applyFont="1" applyFill="1" applyBorder="1" applyAlignment="1"/>
    <xf numFmtId="176" fontId="14" fillId="0" borderId="8" xfId="0" applyNumberFormat="1" applyFont="1" applyFill="1" applyBorder="1" applyAlignment="1"/>
    <xf numFmtId="0" fontId="15" fillId="10" borderId="1" xfId="0" applyFont="1" applyFill="1" applyBorder="1" applyAlignment="1" applyProtection="1">
      <protection locked="0"/>
    </xf>
    <xf numFmtId="0" fontId="15" fillId="11" borderId="1" xfId="0" applyFont="1" applyFill="1" applyBorder="1" applyAlignment="1" applyProtection="1">
      <protection locked="0"/>
    </xf>
    <xf numFmtId="0" fontId="14" fillId="11" borderId="1" xfId="0" applyFont="1" applyFill="1" applyBorder="1" applyAlignment="1"/>
    <xf numFmtId="176" fontId="14" fillId="0" borderId="9" xfId="0" applyNumberFormat="1" applyFont="1" applyFill="1" applyBorder="1" applyAlignment="1"/>
    <xf numFmtId="176" fontId="16" fillId="0" borderId="8" xfId="0" applyNumberFormat="1" applyFont="1" applyFill="1" applyBorder="1" applyAlignment="1"/>
    <xf numFmtId="0" fontId="14" fillId="12" borderId="8" xfId="0" applyFont="1" applyFill="1" applyBorder="1" applyAlignment="1"/>
    <xf numFmtId="0" fontId="16" fillId="11" borderId="1" xfId="0" applyFont="1" applyFill="1" applyBorder="1" applyAlignment="1"/>
    <xf numFmtId="0" fontId="17" fillId="12" borderId="1" xfId="0" applyFont="1" applyFill="1" applyBorder="1" applyAlignment="1" applyProtection="1">
      <protection locked="0"/>
    </xf>
    <xf numFmtId="0" fontId="17" fillId="10" borderId="1" xfId="0" applyFont="1" applyFill="1" applyBorder="1" applyAlignment="1" applyProtection="1">
      <protection locked="0"/>
    </xf>
    <xf numFmtId="177" fontId="14" fillId="11" borderId="1" xfId="0" applyNumberFormat="1" applyFont="1" applyFill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8">
    <dxf>
      <font>
        <color rgb="FFC00000"/>
      </font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 tint="0.399700918607135"/>
    <pageSetUpPr fitToPage="1"/>
  </sheetPr>
  <dimension ref="A1:AJ49"/>
  <sheetViews>
    <sheetView tabSelected="1" zoomScale="40" zoomScaleNormal="40" workbookViewId="0">
      <selection activeCell="AL15" sqref="AL15"/>
    </sheetView>
  </sheetViews>
  <sheetFormatPr defaultColWidth="8.88888888888889" defaultRowHeight="51.6"/>
  <cols>
    <col min="1" max="1" width="16.3333333333333" style="5" customWidth="1"/>
    <col min="2" max="2" width="101.444444444444" style="6" customWidth="1"/>
    <col min="3" max="4" width="15.6666666666667" style="7" customWidth="1"/>
    <col min="5" max="5" width="15.6666666666667" style="7" hidden="1" customWidth="1"/>
    <col min="6" max="6" width="15.6666666666667" style="7" customWidth="1"/>
    <col min="7" max="7" width="28" style="7" customWidth="1"/>
    <col min="8" max="8" width="21.8888888888889" style="7" customWidth="1"/>
    <col min="9" max="9" width="0.444444444444444" style="7" hidden="1" customWidth="1"/>
    <col min="10" max="10" width="15.6666666666667" style="7" hidden="1" customWidth="1"/>
    <col min="11" max="13" width="16.7777777777778" style="7" customWidth="1"/>
    <col min="14" max="14" width="18" style="7" customWidth="1"/>
    <col min="15" max="15" width="15.6666666666667" style="7" customWidth="1"/>
    <col min="16" max="16" width="29.4444444444444" style="7" customWidth="1"/>
    <col min="17" max="17" width="22.7777777777778" style="7" customWidth="1"/>
    <col min="18" max="18" width="23" style="7" customWidth="1"/>
    <col min="19" max="19" width="27.2222222222222" style="7" customWidth="1"/>
    <col min="20" max="20" width="27.6666666666667" style="7" customWidth="1"/>
    <col min="21" max="21" width="32.7777777777778" style="8" customWidth="1"/>
    <col min="22" max="22" width="15.4444444444444" style="9" hidden="1" customWidth="1"/>
    <col min="23" max="29" width="8.88888888888889" style="10" hidden="1" customWidth="1"/>
    <col min="30" max="30" width="21.6666666666667" style="10" hidden="1" customWidth="1"/>
    <col min="31" max="31" width="26.8888888888889" style="10" customWidth="1"/>
    <col min="32" max="32" width="26.5555555555556" style="10" customWidth="1"/>
    <col min="33" max="35" width="25.6666666666667" style="10" customWidth="1"/>
    <col min="36" max="36" width="24.2222222222222" style="10" customWidth="1"/>
    <col min="37" max="16376" width="8.88888888888889" style="10"/>
    <col min="16377" max="16384" width="8.88888888888889" style="11"/>
  </cols>
  <sheetData>
    <row r="1" s="1" customFormat="1" ht="62.4" customHeight="1" spans="1:36">
      <c r="A1" s="12" t="s">
        <v>0</v>
      </c>
      <c r="B1" s="13" t="s">
        <v>1</v>
      </c>
      <c r="C1" s="12" t="s">
        <v>2</v>
      </c>
      <c r="D1" s="12"/>
      <c r="E1" s="12"/>
      <c r="F1" s="12"/>
      <c r="G1" s="12"/>
      <c r="H1" s="14">
        <v>0.2</v>
      </c>
      <c r="I1" s="12" t="s">
        <v>3</v>
      </c>
      <c r="J1" s="12"/>
      <c r="K1" s="12"/>
      <c r="L1" s="12"/>
      <c r="M1" s="12"/>
      <c r="N1" s="12"/>
      <c r="O1" s="12"/>
      <c r="P1" s="12"/>
      <c r="Q1" s="28">
        <v>0.3</v>
      </c>
      <c r="R1" s="12" t="s">
        <v>4</v>
      </c>
      <c r="S1" s="12"/>
      <c r="T1" s="28">
        <v>0.5</v>
      </c>
      <c r="U1" s="29" t="s">
        <v>5</v>
      </c>
      <c r="V1" s="30" t="s">
        <v>6</v>
      </c>
      <c r="W1" s="30"/>
      <c r="X1" s="30"/>
      <c r="Y1" s="30"/>
      <c r="Z1" s="30"/>
      <c r="AA1" s="30"/>
      <c r="AB1" s="30"/>
      <c r="AC1" s="30"/>
      <c r="AD1" s="40" t="s">
        <v>6</v>
      </c>
      <c r="AE1" s="41"/>
      <c r="AF1" s="41"/>
      <c r="AG1" s="41"/>
      <c r="AH1" s="41"/>
      <c r="AI1" s="41"/>
      <c r="AJ1" s="41"/>
    </row>
    <row r="2" s="1" customFormat="1" ht="57.6" customHeight="1" spans="1:36">
      <c r="A2" s="12"/>
      <c r="B2" s="13"/>
      <c r="C2" s="15" t="s">
        <v>7</v>
      </c>
      <c r="D2" s="15" t="s">
        <v>8</v>
      </c>
      <c r="E2" s="15" t="s">
        <v>9</v>
      </c>
      <c r="F2" s="15" t="s">
        <v>10</v>
      </c>
      <c r="G2" s="15" t="s">
        <v>11</v>
      </c>
      <c r="H2" s="14"/>
      <c r="I2" s="15" t="s">
        <v>12</v>
      </c>
      <c r="J2" s="15" t="s">
        <v>13</v>
      </c>
      <c r="K2" s="15" t="s">
        <v>14</v>
      </c>
      <c r="L2" s="15" t="s">
        <v>15</v>
      </c>
      <c r="M2" s="15" t="s">
        <v>16</v>
      </c>
      <c r="N2" s="15" t="s">
        <v>17</v>
      </c>
      <c r="O2" s="15" t="s">
        <v>10</v>
      </c>
      <c r="P2" s="15" t="s">
        <v>11</v>
      </c>
      <c r="Q2" s="31"/>
      <c r="R2" s="15" t="s">
        <v>18</v>
      </c>
      <c r="S2" s="15" t="s">
        <v>11</v>
      </c>
      <c r="T2" s="31"/>
      <c r="U2" s="32"/>
      <c r="V2" s="30"/>
      <c r="W2" s="30"/>
      <c r="X2" s="30"/>
      <c r="Y2" s="30"/>
      <c r="Z2" s="30"/>
      <c r="AA2" s="30"/>
      <c r="AB2" s="30"/>
      <c r="AC2" s="30"/>
      <c r="AD2" s="42"/>
      <c r="AE2" s="43"/>
      <c r="AF2" s="43"/>
      <c r="AG2" s="43"/>
      <c r="AH2" s="43"/>
      <c r="AI2" s="43"/>
      <c r="AJ2" s="43"/>
    </row>
    <row r="3" s="1" customFormat="1" ht="60.6" customHeight="1" spans="1:36">
      <c r="A3" s="12"/>
      <c r="B3" s="13"/>
      <c r="C3" s="16">
        <v>10</v>
      </c>
      <c r="D3" s="16">
        <v>7.5</v>
      </c>
      <c r="E3" s="16">
        <v>0</v>
      </c>
      <c r="F3" s="16">
        <f t="shared" ref="F3:F35" si="0">SUM(C3:E3)</f>
        <v>17.5</v>
      </c>
      <c r="G3" s="17">
        <f t="shared" ref="G3:G35" si="1">F3/$F$3*50+50</f>
        <v>100</v>
      </c>
      <c r="H3" s="17">
        <f t="shared" ref="H3:H35" si="2">G3*$H$1</f>
        <v>20</v>
      </c>
      <c r="I3" s="26">
        <v>0</v>
      </c>
      <c r="J3" s="26"/>
      <c r="K3" s="26">
        <v>25</v>
      </c>
      <c r="L3" s="26">
        <v>25</v>
      </c>
      <c r="M3" s="26">
        <v>25</v>
      </c>
      <c r="N3" s="26">
        <v>25</v>
      </c>
      <c r="O3" s="26">
        <f t="shared" ref="O3:O35" si="3">SUM(I3:N3)</f>
        <v>100</v>
      </c>
      <c r="P3" s="27">
        <f t="shared" ref="P3:P35" si="4">O3/$O$3*50+50</f>
        <v>100</v>
      </c>
      <c r="Q3" s="27">
        <f t="shared" ref="Q3:Q35" si="5">P3*$Q$1</f>
        <v>30</v>
      </c>
      <c r="R3" s="26">
        <v>50</v>
      </c>
      <c r="S3" s="27">
        <f t="shared" ref="S3:S35" si="6">R3/$R$3*50+50</f>
        <v>100</v>
      </c>
      <c r="T3" s="27">
        <f t="shared" ref="T3:T35" si="7">S3*$T$1</f>
        <v>50</v>
      </c>
      <c r="U3" s="33">
        <f t="shared" ref="U3:U35" si="8">SUM(H3,Q3,T3)</f>
        <v>100</v>
      </c>
      <c r="V3" s="34">
        <v>46419</v>
      </c>
      <c r="W3" s="35"/>
      <c r="X3" s="35"/>
      <c r="Y3" s="35"/>
      <c r="Z3" s="35"/>
      <c r="AA3" s="35"/>
      <c r="AB3" s="35"/>
      <c r="AC3" s="35"/>
      <c r="AD3" s="44">
        <v>45870</v>
      </c>
      <c r="AE3" s="45">
        <v>44044</v>
      </c>
      <c r="AF3" s="45">
        <v>45139</v>
      </c>
      <c r="AG3" s="45">
        <v>38961</v>
      </c>
      <c r="AH3" s="49">
        <v>40422</v>
      </c>
      <c r="AI3" s="50">
        <v>41518</v>
      </c>
      <c r="AJ3" s="51" t="s">
        <v>10</v>
      </c>
    </row>
    <row r="4" spans="1:36">
      <c r="A4" s="18">
        <v>1</v>
      </c>
      <c r="B4" s="19" t="s">
        <v>19</v>
      </c>
      <c r="C4" s="20">
        <v>0</v>
      </c>
      <c r="D4" s="20">
        <v>1.5</v>
      </c>
      <c r="E4" s="20"/>
      <c r="F4" s="15">
        <f t="shared" si="0"/>
        <v>1.5</v>
      </c>
      <c r="G4" s="21">
        <f t="shared" si="1"/>
        <v>54.2857142857143</v>
      </c>
      <c r="H4" s="22">
        <f t="shared" si="2"/>
        <v>10.8571428571429</v>
      </c>
      <c r="I4" s="15">
        <v>0</v>
      </c>
      <c r="J4" s="20"/>
      <c r="K4" s="20">
        <v>25</v>
      </c>
      <c r="L4" s="20">
        <v>25</v>
      </c>
      <c r="M4" s="20">
        <v>25</v>
      </c>
      <c r="N4" s="20">
        <v>25</v>
      </c>
      <c r="O4" s="15">
        <f t="shared" si="3"/>
        <v>100</v>
      </c>
      <c r="P4" s="21">
        <f t="shared" si="4"/>
        <v>100</v>
      </c>
      <c r="Q4" s="22">
        <f t="shared" si="5"/>
        <v>30</v>
      </c>
      <c r="R4" s="15">
        <v>48</v>
      </c>
      <c r="S4" s="21">
        <f t="shared" si="6"/>
        <v>98</v>
      </c>
      <c r="T4" s="22">
        <f t="shared" si="7"/>
        <v>49</v>
      </c>
      <c r="U4" s="21">
        <f t="shared" si="8"/>
        <v>89.8571428571429</v>
      </c>
      <c r="V4" s="36" t="s">
        <v>20</v>
      </c>
      <c r="W4" s="37" t="s">
        <v>20</v>
      </c>
      <c r="X4" s="37" t="s">
        <v>20</v>
      </c>
      <c r="Y4" s="37"/>
      <c r="Z4" s="37"/>
      <c r="AA4" s="37"/>
      <c r="AB4" s="37"/>
      <c r="AC4" s="37"/>
      <c r="AD4" s="37"/>
      <c r="AE4" s="46"/>
      <c r="AF4" s="46"/>
      <c r="AG4" s="46"/>
      <c r="AH4" s="46"/>
      <c r="AI4" s="52">
        <v>1.5</v>
      </c>
      <c r="AJ4" s="53">
        <f t="shared" ref="AJ4:AJ35" si="9">AE4+AF4+AG4+AH4+AI4</f>
        <v>1.5</v>
      </c>
    </row>
    <row r="5" spans="1:36">
      <c r="A5" s="18">
        <v>2</v>
      </c>
      <c r="B5" s="19" t="s">
        <v>21</v>
      </c>
      <c r="C5" s="20">
        <v>10</v>
      </c>
      <c r="D5" s="20">
        <v>5.5</v>
      </c>
      <c r="E5" s="20"/>
      <c r="F5" s="15">
        <f t="shared" si="0"/>
        <v>15.5</v>
      </c>
      <c r="G5" s="21">
        <f t="shared" si="1"/>
        <v>94.2857142857143</v>
      </c>
      <c r="H5" s="22">
        <f t="shared" si="2"/>
        <v>18.8571428571429</v>
      </c>
      <c r="I5" s="15">
        <v>0</v>
      </c>
      <c r="J5" s="20"/>
      <c r="K5" s="20">
        <v>25</v>
      </c>
      <c r="L5" s="20">
        <v>25</v>
      </c>
      <c r="M5" s="20">
        <v>25</v>
      </c>
      <c r="N5" s="20">
        <v>25</v>
      </c>
      <c r="O5" s="15">
        <f t="shared" si="3"/>
        <v>100</v>
      </c>
      <c r="P5" s="21">
        <f t="shared" si="4"/>
        <v>100</v>
      </c>
      <c r="Q5" s="22">
        <f t="shared" si="5"/>
        <v>30</v>
      </c>
      <c r="R5" s="15">
        <v>45</v>
      </c>
      <c r="S5" s="21">
        <f t="shared" si="6"/>
        <v>95</v>
      </c>
      <c r="T5" s="22">
        <f t="shared" si="7"/>
        <v>47.5</v>
      </c>
      <c r="U5" s="21">
        <f t="shared" si="8"/>
        <v>96.3571428571429</v>
      </c>
      <c r="V5" s="36" t="s">
        <v>20</v>
      </c>
      <c r="W5" s="37" t="s">
        <v>22</v>
      </c>
      <c r="X5" s="37"/>
      <c r="Y5" s="37"/>
      <c r="Z5" s="37"/>
      <c r="AA5" s="37"/>
      <c r="AB5" s="37"/>
      <c r="AC5" s="37"/>
      <c r="AE5" s="46"/>
      <c r="AF5" s="47">
        <v>1.5</v>
      </c>
      <c r="AG5" s="47">
        <v>1</v>
      </c>
      <c r="AH5" s="47">
        <v>1.5</v>
      </c>
      <c r="AI5" s="52">
        <v>1.5</v>
      </c>
      <c r="AJ5" s="53">
        <f t="shared" si="9"/>
        <v>5.5</v>
      </c>
    </row>
    <row r="6" spans="1:36">
      <c r="A6" s="18">
        <v>3</v>
      </c>
      <c r="B6" s="19" t="s">
        <v>23</v>
      </c>
      <c r="C6" s="20">
        <v>10</v>
      </c>
      <c r="D6" s="20">
        <v>6</v>
      </c>
      <c r="E6" s="20"/>
      <c r="F6" s="15">
        <f t="shared" si="0"/>
        <v>16</v>
      </c>
      <c r="G6" s="21">
        <f t="shared" si="1"/>
        <v>95.7142857142857</v>
      </c>
      <c r="H6" s="22">
        <f t="shared" si="2"/>
        <v>19.1428571428571</v>
      </c>
      <c r="I6" s="15">
        <v>0</v>
      </c>
      <c r="J6" s="20"/>
      <c r="K6" s="20">
        <v>25</v>
      </c>
      <c r="L6" s="20">
        <v>25</v>
      </c>
      <c r="M6" s="20">
        <v>25</v>
      </c>
      <c r="N6" s="20">
        <v>25</v>
      </c>
      <c r="O6" s="15">
        <f t="shared" si="3"/>
        <v>100</v>
      </c>
      <c r="P6" s="21">
        <f t="shared" si="4"/>
        <v>100</v>
      </c>
      <c r="Q6" s="22">
        <f t="shared" si="5"/>
        <v>30</v>
      </c>
      <c r="R6" s="15">
        <v>49</v>
      </c>
      <c r="S6" s="21">
        <f t="shared" si="6"/>
        <v>99</v>
      </c>
      <c r="T6" s="22">
        <f t="shared" si="7"/>
        <v>49.5</v>
      </c>
      <c r="U6" s="21">
        <f t="shared" si="8"/>
        <v>98.6428571428571</v>
      </c>
      <c r="V6" s="36" t="s">
        <v>20</v>
      </c>
      <c r="W6" s="37" t="s">
        <v>20</v>
      </c>
      <c r="X6" s="37" t="s">
        <v>20</v>
      </c>
      <c r="Y6" s="37"/>
      <c r="Z6" s="37"/>
      <c r="AA6" s="37"/>
      <c r="AB6" s="37"/>
      <c r="AC6" s="37"/>
      <c r="AD6" s="37"/>
      <c r="AE6" s="46"/>
      <c r="AF6" s="47">
        <v>1.5</v>
      </c>
      <c r="AG6" s="48">
        <v>1.5</v>
      </c>
      <c r="AH6" s="48">
        <v>1.5</v>
      </c>
      <c r="AI6" s="52">
        <v>1.5</v>
      </c>
      <c r="AJ6" s="53">
        <f t="shared" si="9"/>
        <v>6</v>
      </c>
    </row>
    <row r="7" spans="1:36">
      <c r="A7" s="18">
        <v>4</v>
      </c>
      <c r="B7" s="19" t="s">
        <v>24</v>
      </c>
      <c r="C7" s="20">
        <v>7</v>
      </c>
      <c r="D7" s="20">
        <v>5.5</v>
      </c>
      <c r="E7" s="20"/>
      <c r="F7" s="15">
        <f t="shared" si="0"/>
        <v>12.5</v>
      </c>
      <c r="G7" s="21">
        <f t="shared" si="1"/>
        <v>85.7142857142857</v>
      </c>
      <c r="H7" s="22">
        <f t="shared" si="2"/>
        <v>17.1428571428571</v>
      </c>
      <c r="I7" s="15">
        <v>0</v>
      </c>
      <c r="J7" s="20"/>
      <c r="K7" s="20">
        <v>25</v>
      </c>
      <c r="L7" s="20">
        <v>25</v>
      </c>
      <c r="M7" s="20">
        <v>25</v>
      </c>
      <c r="N7" s="20">
        <v>25</v>
      </c>
      <c r="O7" s="15">
        <f t="shared" si="3"/>
        <v>100</v>
      </c>
      <c r="P7" s="21">
        <f t="shared" si="4"/>
        <v>100</v>
      </c>
      <c r="Q7" s="22">
        <f t="shared" si="5"/>
        <v>30</v>
      </c>
      <c r="R7" s="15">
        <v>50</v>
      </c>
      <c r="S7" s="21">
        <f t="shared" si="6"/>
        <v>100</v>
      </c>
      <c r="T7" s="22">
        <f t="shared" si="7"/>
        <v>50</v>
      </c>
      <c r="U7" s="21">
        <f t="shared" si="8"/>
        <v>97.1428571428571</v>
      </c>
      <c r="V7" s="36"/>
      <c r="W7" s="37"/>
      <c r="X7" s="37" t="s">
        <v>20</v>
      </c>
      <c r="Y7" s="37"/>
      <c r="Z7" s="37"/>
      <c r="AA7" s="37"/>
      <c r="AB7" s="37"/>
      <c r="AC7" s="37"/>
      <c r="AD7" s="37"/>
      <c r="AE7" s="46"/>
      <c r="AF7" s="47">
        <v>1.5</v>
      </c>
      <c r="AG7" s="48">
        <v>1</v>
      </c>
      <c r="AH7" s="48">
        <v>1.5</v>
      </c>
      <c r="AI7" s="52">
        <v>1.5</v>
      </c>
      <c r="AJ7" s="53">
        <f t="shared" si="9"/>
        <v>5.5</v>
      </c>
    </row>
    <row r="8" spans="1:36">
      <c r="A8" s="18">
        <v>5</v>
      </c>
      <c r="B8" s="19" t="s">
        <v>25</v>
      </c>
      <c r="C8" s="20">
        <v>9</v>
      </c>
      <c r="D8" s="20">
        <v>6</v>
      </c>
      <c r="E8" s="20"/>
      <c r="F8" s="15">
        <f t="shared" si="0"/>
        <v>15</v>
      </c>
      <c r="G8" s="21">
        <f t="shared" si="1"/>
        <v>92.8571428571429</v>
      </c>
      <c r="H8" s="22">
        <f t="shared" si="2"/>
        <v>18.5714285714286</v>
      </c>
      <c r="I8" s="15">
        <v>0</v>
      </c>
      <c r="J8" s="20"/>
      <c r="K8" s="20">
        <v>25</v>
      </c>
      <c r="L8" s="20">
        <v>25</v>
      </c>
      <c r="M8" s="20">
        <v>25</v>
      </c>
      <c r="N8" s="20">
        <v>25</v>
      </c>
      <c r="O8" s="15">
        <f t="shared" si="3"/>
        <v>100</v>
      </c>
      <c r="P8" s="21">
        <f t="shared" si="4"/>
        <v>100</v>
      </c>
      <c r="Q8" s="22">
        <f t="shared" si="5"/>
        <v>30</v>
      </c>
      <c r="R8" s="15">
        <v>49</v>
      </c>
      <c r="S8" s="21">
        <f t="shared" si="6"/>
        <v>99</v>
      </c>
      <c r="T8" s="22">
        <f t="shared" si="7"/>
        <v>49.5</v>
      </c>
      <c r="U8" s="21">
        <f t="shared" si="8"/>
        <v>98.0714285714286</v>
      </c>
      <c r="V8" s="36" t="s">
        <v>20</v>
      </c>
      <c r="W8" s="37" t="s">
        <v>20</v>
      </c>
      <c r="X8" s="37" t="s">
        <v>20</v>
      </c>
      <c r="Y8" s="37"/>
      <c r="Z8" s="37"/>
      <c r="AA8" s="37"/>
      <c r="AB8" s="37"/>
      <c r="AC8" s="37"/>
      <c r="AD8" s="37"/>
      <c r="AE8" s="46"/>
      <c r="AF8" s="47">
        <v>1.5</v>
      </c>
      <c r="AG8" s="48">
        <v>1.5</v>
      </c>
      <c r="AH8" s="48">
        <v>1.5</v>
      </c>
      <c r="AI8" s="52">
        <v>1.5</v>
      </c>
      <c r="AJ8" s="53">
        <f t="shared" si="9"/>
        <v>6</v>
      </c>
    </row>
    <row r="9" spans="1:36">
      <c r="A9" s="18">
        <v>6</v>
      </c>
      <c r="B9" s="19" t="s">
        <v>26</v>
      </c>
      <c r="C9" s="20">
        <v>10</v>
      </c>
      <c r="D9" s="20">
        <v>7.5</v>
      </c>
      <c r="E9" s="20"/>
      <c r="F9" s="15">
        <f t="shared" si="0"/>
        <v>17.5</v>
      </c>
      <c r="G9" s="21">
        <f t="shared" si="1"/>
        <v>100</v>
      </c>
      <c r="H9" s="22">
        <f t="shared" si="2"/>
        <v>20</v>
      </c>
      <c r="I9" s="15">
        <v>0</v>
      </c>
      <c r="J9" s="20"/>
      <c r="K9" s="20">
        <v>25</v>
      </c>
      <c r="L9" s="20">
        <v>25</v>
      </c>
      <c r="M9" s="20">
        <v>25</v>
      </c>
      <c r="N9" s="20">
        <v>25</v>
      </c>
      <c r="O9" s="15">
        <f t="shared" si="3"/>
        <v>100</v>
      </c>
      <c r="P9" s="21">
        <f t="shared" si="4"/>
        <v>100</v>
      </c>
      <c r="Q9" s="22">
        <f t="shared" si="5"/>
        <v>30</v>
      </c>
      <c r="R9" s="15">
        <v>49</v>
      </c>
      <c r="S9" s="21">
        <f t="shared" si="6"/>
        <v>99</v>
      </c>
      <c r="T9" s="22">
        <f t="shared" si="7"/>
        <v>49.5</v>
      </c>
      <c r="U9" s="21">
        <f t="shared" si="8"/>
        <v>99.5</v>
      </c>
      <c r="V9" s="36" t="s">
        <v>20</v>
      </c>
      <c r="W9" s="37" t="s">
        <v>20</v>
      </c>
      <c r="X9" s="37" t="s">
        <v>20</v>
      </c>
      <c r="Y9" s="37"/>
      <c r="Z9" s="37"/>
      <c r="AA9" s="37"/>
      <c r="AB9" s="37"/>
      <c r="AC9" s="37"/>
      <c r="AD9" s="37">
        <v>1.5</v>
      </c>
      <c r="AE9" s="48">
        <v>1.5</v>
      </c>
      <c r="AF9" s="47">
        <v>1.5</v>
      </c>
      <c r="AG9" s="48">
        <v>1.5</v>
      </c>
      <c r="AH9" s="48">
        <v>1.5</v>
      </c>
      <c r="AI9" s="52">
        <v>1.5</v>
      </c>
      <c r="AJ9" s="53">
        <f t="shared" si="9"/>
        <v>7.5</v>
      </c>
    </row>
    <row r="10" spans="1:36">
      <c r="A10" s="18">
        <v>7</v>
      </c>
      <c r="B10" s="19" t="s">
        <v>27</v>
      </c>
      <c r="C10" s="20">
        <v>10</v>
      </c>
      <c r="D10" s="20">
        <v>6</v>
      </c>
      <c r="E10" s="20"/>
      <c r="F10" s="15">
        <f t="shared" si="0"/>
        <v>16</v>
      </c>
      <c r="G10" s="21">
        <f t="shared" si="1"/>
        <v>95.7142857142857</v>
      </c>
      <c r="H10" s="22">
        <f t="shared" si="2"/>
        <v>19.1428571428571</v>
      </c>
      <c r="I10" s="15">
        <v>0</v>
      </c>
      <c r="J10" s="20"/>
      <c r="K10" s="20">
        <v>25</v>
      </c>
      <c r="L10" s="20">
        <v>25</v>
      </c>
      <c r="M10" s="20">
        <v>25</v>
      </c>
      <c r="N10" s="20">
        <v>25</v>
      </c>
      <c r="O10" s="15">
        <f t="shared" si="3"/>
        <v>100</v>
      </c>
      <c r="P10" s="21">
        <f t="shared" si="4"/>
        <v>100</v>
      </c>
      <c r="Q10" s="22">
        <f t="shared" si="5"/>
        <v>30</v>
      </c>
      <c r="R10" s="15">
        <v>46</v>
      </c>
      <c r="S10" s="21">
        <f t="shared" si="6"/>
        <v>96</v>
      </c>
      <c r="T10" s="22">
        <f t="shared" si="7"/>
        <v>48</v>
      </c>
      <c r="U10" s="21">
        <f t="shared" si="8"/>
        <v>97.1428571428571</v>
      </c>
      <c r="V10" s="36" t="s">
        <v>20</v>
      </c>
      <c r="W10" s="37" t="s">
        <v>20</v>
      </c>
      <c r="X10" s="37" t="s">
        <v>20</v>
      </c>
      <c r="Y10" s="37"/>
      <c r="Z10" s="37"/>
      <c r="AA10" s="37"/>
      <c r="AB10" s="37"/>
      <c r="AC10" s="37"/>
      <c r="AD10" s="37"/>
      <c r="AE10" s="46"/>
      <c r="AF10" s="47">
        <v>1.5</v>
      </c>
      <c r="AG10" s="48">
        <v>1.5</v>
      </c>
      <c r="AH10" s="48">
        <v>1.5</v>
      </c>
      <c r="AI10" s="52">
        <v>1.5</v>
      </c>
      <c r="AJ10" s="53">
        <f t="shared" si="9"/>
        <v>6</v>
      </c>
    </row>
    <row r="11" spans="1:36">
      <c r="A11" s="18">
        <v>8</v>
      </c>
      <c r="B11" s="19" t="s">
        <v>28</v>
      </c>
      <c r="C11" s="20">
        <v>0</v>
      </c>
      <c r="D11" s="20">
        <v>1.5</v>
      </c>
      <c r="E11" s="20"/>
      <c r="F11" s="15">
        <f t="shared" si="0"/>
        <v>1.5</v>
      </c>
      <c r="G11" s="21">
        <f t="shared" si="1"/>
        <v>54.2857142857143</v>
      </c>
      <c r="H11" s="22">
        <f t="shared" si="2"/>
        <v>10.8571428571429</v>
      </c>
      <c r="I11" s="15">
        <v>0</v>
      </c>
      <c r="J11" s="20"/>
      <c r="K11" s="20">
        <v>25</v>
      </c>
      <c r="L11" s="20">
        <v>25</v>
      </c>
      <c r="M11" s="20">
        <v>25</v>
      </c>
      <c r="N11" s="20">
        <v>25</v>
      </c>
      <c r="O11" s="15">
        <f t="shared" si="3"/>
        <v>100</v>
      </c>
      <c r="P11" s="21">
        <f t="shared" si="4"/>
        <v>100</v>
      </c>
      <c r="Q11" s="22">
        <f t="shared" si="5"/>
        <v>30</v>
      </c>
      <c r="R11" s="15">
        <v>25</v>
      </c>
      <c r="S11" s="21">
        <f t="shared" si="6"/>
        <v>75</v>
      </c>
      <c r="T11" s="22">
        <f t="shared" si="7"/>
        <v>37.5</v>
      </c>
      <c r="U11" s="21">
        <f t="shared" si="8"/>
        <v>78.3571428571429</v>
      </c>
      <c r="V11" s="36"/>
      <c r="W11" s="37" t="s">
        <v>29</v>
      </c>
      <c r="X11" s="37"/>
      <c r="Y11" s="37"/>
      <c r="Z11" s="37"/>
      <c r="AA11" s="37"/>
      <c r="AB11" s="37"/>
      <c r="AC11" s="37"/>
      <c r="AD11" s="37">
        <v>1.5</v>
      </c>
      <c r="AE11" s="46"/>
      <c r="AF11" s="46"/>
      <c r="AG11" s="46"/>
      <c r="AH11" s="46"/>
      <c r="AI11" s="52">
        <v>1.5</v>
      </c>
      <c r="AJ11" s="53">
        <f t="shared" si="9"/>
        <v>1.5</v>
      </c>
    </row>
    <row r="12" spans="1:36">
      <c r="A12" s="18">
        <v>9</v>
      </c>
      <c r="B12" s="19" t="s">
        <v>30</v>
      </c>
      <c r="C12" s="20">
        <v>10</v>
      </c>
      <c r="D12" s="20">
        <v>7.5</v>
      </c>
      <c r="E12" s="20"/>
      <c r="F12" s="15">
        <f t="shared" si="0"/>
        <v>17.5</v>
      </c>
      <c r="G12" s="21">
        <f t="shared" si="1"/>
        <v>100</v>
      </c>
      <c r="H12" s="22">
        <f t="shared" si="2"/>
        <v>20</v>
      </c>
      <c r="I12" s="15">
        <v>0</v>
      </c>
      <c r="J12" s="20"/>
      <c r="K12" s="20">
        <v>25</v>
      </c>
      <c r="L12" s="20">
        <v>25</v>
      </c>
      <c r="M12" s="20">
        <v>25</v>
      </c>
      <c r="N12" s="20">
        <v>25</v>
      </c>
      <c r="O12" s="15">
        <f t="shared" si="3"/>
        <v>100</v>
      </c>
      <c r="P12" s="21">
        <f t="shared" si="4"/>
        <v>100</v>
      </c>
      <c r="Q12" s="22">
        <f t="shared" si="5"/>
        <v>30</v>
      </c>
      <c r="R12" s="15">
        <v>49</v>
      </c>
      <c r="S12" s="21">
        <f t="shared" si="6"/>
        <v>99</v>
      </c>
      <c r="T12" s="22">
        <f t="shared" si="7"/>
        <v>49.5</v>
      </c>
      <c r="U12" s="21">
        <f t="shared" si="8"/>
        <v>99.5</v>
      </c>
      <c r="V12" s="36" t="s">
        <v>22</v>
      </c>
      <c r="W12" s="37" t="s">
        <v>22</v>
      </c>
      <c r="X12" s="37"/>
      <c r="Y12" s="37"/>
      <c r="Z12" s="37"/>
      <c r="AA12" s="37"/>
      <c r="AB12" s="37"/>
      <c r="AC12" s="37"/>
      <c r="AD12" s="37"/>
      <c r="AE12" s="48">
        <v>1.5</v>
      </c>
      <c r="AF12" s="47">
        <v>1.5</v>
      </c>
      <c r="AG12" s="48">
        <v>1.5</v>
      </c>
      <c r="AH12" s="48">
        <v>1.5</v>
      </c>
      <c r="AI12" s="52">
        <v>1.5</v>
      </c>
      <c r="AJ12" s="53">
        <f t="shared" si="9"/>
        <v>7.5</v>
      </c>
    </row>
    <row r="13" spans="1:36">
      <c r="A13" s="18">
        <v>10</v>
      </c>
      <c r="B13" s="19" t="s">
        <v>31</v>
      </c>
      <c r="C13" s="20">
        <v>10</v>
      </c>
      <c r="D13" s="20">
        <v>4.5</v>
      </c>
      <c r="E13" s="20"/>
      <c r="F13" s="15">
        <f t="shared" si="0"/>
        <v>14.5</v>
      </c>
      <c r="G13" s="21">
        <f t="shared" si="1"/>
        <v>91.4285714285714</v>
      </c>
      <c r="H13" s="22">
        <f t="shared" si="2"/>
        <v>18.2857142857143</v>
      </c>
      <c r="I13" s="15">
        <v>0</v>
      </c>
      <c r="J13" s="20"/>
      <c r="K13" s="20">
        <v>25</v>
      </c>
      <c r="L13" s="20">
        <v>25</v>
      </c>
      <c r="M13" s="20">
        <v>25</v>
      </c>
      <c r="N13" s="20">
        <v>25</v>
      </c>
      <c r="O13" s="15">
        <f t="shared" si="3"/>
        <v>100</v>
      </c>
      <c r="P13" s="21">
        <f t="shared" si="4"/>
        <v>100</v>
      </c>
      <c r="Q13" s="22">
        <f t="shared" si="5"/>
        <v>30</v>
      </c>
      <c r="R13" s="15">
        <v>40</v>
      </c>
      <c r="S13" s="21">
        <f t="shared" si="6"/>
        <v>90</v>
      </c>
      <c r="T13" s="22">
        <f t="shared" si="7"/>
        <v>45</v>
      </c>
      <c r="U13" s="21">
        <f t="shared" si="8"/>
        <v>93.2857142857143</v>
      </c>
      <c r="V13" s="36"/>
      <c r="W13" s="37" t="s">
        <v>20</v>
      </c>
      <c r="X13" s="37"/>
      <c r="Y13" s="37"/>
      <c r="Z13" s="37"/>
      <c r="AA13" s="37"/>
      <c r="AB13" s="37"/>
      <c r="AC13" s="37"/>
      <c r="AD13" s="37"/>
      <c r="AE13" s="48">
        <v>1.5</v>
      </c>
      <c r="AF13" s="47">
        <v>1.5</v>
      </c>
      <c r="AG13" s="46"/>
      <c r="AH13" s="46"/>
      <c r="AI13" s="52">
        <v>1.5</v>
      </c>
      <c r="AJ13" s="53">
        <f t="shared" si="9"/>
        <v>4.5</v>
      </c>
    </row>
    <row r="14" spans="1:36">
      <c r="A14" s="18">
        <v>11</v>
      </c>
      <c r="B14" s="19" t="s">
        <v>32</v>
      </c>
      <c r="C14" s="20">
        <v>10</v>
      </c>
      <c r="D14" s="20">
        <v>6</v>
      </c>
      <c r="E14" s="20"/>
      <c r="F14" s="15">
        <f t="shared" si="0"/>
        <v>16</v>
      </c>
      <c r="G14" s="21">
        <f t="shared" si="1"/>
        <v>95.7142857142857</v>
      </c>
      <c r="H14" s="22">
        <f t="shared" si="2"/>
        <v>19.1428571428571</v>
      </c>
      <c r="I14" s="15">
        <v>0</v>
      </c>
      <c r="J14" s="20"/>
      <c r="K14" s="20">
        <v>25</v>
      </c>
      <c r="L14" s="20">
        <v>25</v>
      </c>
      <c r="M14" s="20">
        <v>25</v>
      </c>
      <c r="N14" s="20">
        <v>25</v>
      </c>
      <c r="O14" s="15">
        <f t="shared" si="3"/>
        <v>100</v>
      </c>
      <c r="P14" s="21">
        <f t="shared" si="4"/>
        <v>100</v>
      </c>
      <c r="Q14" s="22">
        <f t="shared" si="5"/>
        <v>30</v>
      </c>
      <c r="R14" s="15">
        <v>50</v>
      </c>
      <c r="S14" s="21">
        <f t="shared" si="6"/>
        <v>100</v>
      </c>
      <c r="T14" s="22">
        <f t="shared" si="7"/>
        <v>50</v>
      </c>
      <c r="U14" s="21">
        <f t="shared" si="8"/>
        <v>99.1428571428571</v>
      </c>
      <c r="V14" s="36" t="s">
        <v>20</v>
      </c>
      <c r="W14" s="37" t="s">
        <v>20</v>
      </c>
      <c r="X14" s="37"/>
      <c r="Y14" s="37"/>
      <c r="Z14" s="37"/>
      <c r="AA14" s="37"/>
      <c r="AB14" s="37"/>
      <c r="AC14" s="37"/>
      <c r="AD14" s="37"/>
      <c r="AE14" s="48">
        <v>1.5</v>
      </c>
      <c r="AF14" s="47">
        <v>1.5</v>
      </c>
      <c r="AG14" s="48">
        <v>1.5</v>
      </c>
      <c r="AH14" s="46"/>
      <c r="AI14" s="52">
        <v>1.5</v>
      </c>
      <c r="AJ14" s="53">
        <f t="shared" si="9"/>
        <v>6</v>
      </c>
    </row>
    <row r="15" spans="1:36">
      <c r="A15" s="18">
        <v>12</v>
      </c>
      <c r="B15" s="19" t="s">
        <v>33</v>
      </c>
      <c r="C15" s="20">
        <v>10</v>
      </c>
      <c r="D15" s="20">
        <v>6</v>
      </c>
      <c r="E15" s="20"/>
      <c r="F15" s="15">
        <f t="shared" si="0"/>
        <v>16</v>
      </c>
      <c r="G15" s="21">
        <f t="shared" si="1"/>
        <v>95.7142857142857</v>
      </c>
      <c r="H15" s="22">
        <f t="shared" si="2"/>
        <v>19.1428571428571</v>
      </c>
      <c r="I15" s="15">
        <v>0</v>
      </c>
      <c r="J15" s="20"/>
      <c r="K15" s="20">
        <v>25</v>
      </c>
      <c r="L15" s="20">
        <v>25</v>
      </c>
      <c r="M15" s="20">
        <v>25</v>
      </c>
      <c r="N15" s="20">
        <v>25</v>
      </c>
      <c r="O15" s="15">
        <f t="shared" si="3"/>
        <v>100</v>
      </c>
      <c r="P15" s="21">
        <f t="shared" si="4"/>
        <v>100</v>
      </c>
      <c r="Q15" s="22">
        <f t="shared" si="5"/>
        <v>30</v>
      </c>
      <c r="R15" s="15">
        <v>50</v>
      </c>
      <c r="S15" s="21">
        <f t="shared" si="6"/>
        <v>100</v>
      </c>
      <c r="T15" s="22">
        <f t="shared" si="7"/>
        <v>50</v>
      </c>
      <c r="U15" s="21">
        <f t="shared" si="8"/>
        <v>99.1428571428571</v>
      </c>
      <c r="V15" s="36" t="s">
        <v>22</v>
      </c>
      <c r="W15" s="37" t="s">
        <v>20</v>
      </c>
      <c r="X15" s="37"/>
      <c r="Y15" s="37"/>
      <c r="Z15" s="37"/>
      <c r="AA15" s="37"/>
      <c r="AB15" s="37"/>
      <c r="AC15" s="37"/>
      <c r="AD15" s="37"/>
      <c r="AE15" s="46"/>
      <c r="AF15" s="47">
        <v>1.5</v>
      </c>
      <c r="AG15" s="48">
        <v>1.5</v>
      </c>
      <c r="AH15" s="48">
        <v>1.5</v>
      </c>
      <c r="AI15" s="52">
        <v>1.5</v>
      </c>
      <c r="AJ15" s="53">
        <f t="shared" si="9"/>
        <v>6</v>
      </c>
    </row>
    <row r="16" spans="1:36">
      <c r="A16" s="18">
        <v>13</v>
      </c>
      <c r="B16" s="19" t="s">
        <v>34</v>
      </c>
      <c r="C16" s="20">
        <v>7</v>
      </c>
      <c r="D16" s="20">
        <v>5.5</v>
      </c>
      <c r="E16" s="20"/>
      <c r="F16" s="15">
        <f t="shared" si="0"/>
        <v>12.5</v>
      </c>
      <c r="G16" s="21">
        <f t="shared" si="1"/>
        <v>85.7142857142857</v>
      </c>
      <c r="H16" s="22">
        <f t="shared" si="2"/>
        <v>17.1428571428571</v>
      </c>
      <c r="I16" s="15">
        <v>0</v>
      </c>
      <c r="J16" s="20"/>
      <c r="K16" s="20">
        <v>25</v>
      </c>
      <c r="L16" s="20">
        <v>25</v>
      </c>
      <c r="M16" s="20">
        <v>25</v>
      </c>
      <c r="N16" s="20">
        <v>25</v>
      </c>
      <c r="O16" s="15">
        <f t="shared" si="3"/>
        <v>100</v>
      </c>
      <c r="P16" s="21">
        <f t="shared" si="4"/>
        <v>100</v>
      </c>
      <c r="Q16" s="22">
        <f t="shared" si="5"/>
        <v>30</v>
      </c>
      <c r="R16" s="15">
        <v>27</v>
      </c>
      <c r="S16" s="21">
        <f t="shared" si="6"/>
        <v>77</v>
      </c>
      <c r="T16" s="22">
        <f t="shared" si="7"/>
        <v>38.5</v>
      </c>
      <c r="U16" s="21">
        <f t="shared" si="8"/>
        <v>85.6428571428571</v>
      </c>
      <c r="V16" s="36"/>
      <c r="W16" s="37" t="s">
        <v>29</v>
      </c>
      <c r="X16" s="37"/>
      <c r="Y16" s="37"/>
      <c r="Z16" s="37"/>
      <c r="AA16" s="37"/>
      <c r="AB16" s="37"/>
      <c r="AC16" s="37"/>
      <c r="AD16" s="37"/>
      <c r="AE16" s="46"/>
      <c r="AF16" s="47">
        <v>1.5</v>
      </c>
      <c r="AG16" s="48">
        <v>1.5</v>
      </c>
      <c r="AH16" s="48">
        <v>1</v>
      </c>
      <c r="AI16" s="52">
        <v>1.5</v>
      </c>
      <c r="AJ16" s="53">
        <f t="shared" si="9"/>
        <v>5.5</v>
      </c>
    </row>
    <row r="17" spans="1:36">
      <c r="A17" s="18">
        <v>14</v>
      </c>
      <c r="B17" s="19" t="s">
        <v>35</v>
      </c>
      <c r="C17" s="20">
        <v>0</v>
      </c>
      <c r="D17" s="20">
        <v>0</v>
      </c>
      <c r="E17" s="20"/>
      <c r="F17" s="15">
        <f t="shared" si="0"/>
        <v>0</v>
      </c>
      <c r="G17" s="21">
        <f t="shared" si="1"/>
        <v>50</v>
      </c>
      <c r="H17" s="22">
        <f t="shared" si="2"/>
        <v>10</v>
      </c>
      <c r="I17" s="15">
        <v>0</v>
      </c>
      <c r="J17" s="20"/>
      <c r="K17" s="20">
        <v>0</v>
      </c>
      <c r="L17" s="20">
        <v>0</v>
      </c>
      <c r="M17" s="20">
        <v>0</v>
      </c>
      <c r="N17" s="20">
        <v>0</v>
      </c>
      <c r="O17" s="15">
        <f t="shared" si="3"/>
        <v>0</v>
      </c>
      <c r="P17" s="21">
        <f t="shared" si="4"/>
        <v>50</v>
      </c>
      <c r="Q17" s="22">
        <f t="shared" si="5"/>
        <v>15</v>
      </c>
      <c r="R17" s="15">
        <v>0</v>
      </c>
      <c r="S17" s="21">
        <f t="shared" si="6"/>
        <v>50</v>
      </c>
      <c r="T17" s="22">
        <f t="shared" si="7"/>
        <v>25</v>
      </c>
      <c r="U17" s="21">
        <f t="shared" si="8"/>
        <v>50</v>
      </c>
      <c r="V17" s="36" t="s">
        <v>20</v>
      </c>
      <c r="W17" s="37" t="s">
        <v>20</v>
      </c>
      <c r="X17" s="37"/>
      <c r="Y17" s="37"/>
      <c r="Z17" s="37"/>
      <c r="AA17" s="37"/>
      <c r="AB17" s="37"/>
      <c r="AC17" s="37"/>
      <c r="AD17" s="37"/>
      <c r="AE17" s="46"/>
      <c r="AF17" s="46"/>
      <c r="AG17" s="46"/>
      <c r="AH17" s="46"/>
      <c r="AI17" s="54"/>
      <c r="AJ17" s="53">
        <f t="shared" si="9"/>
        <v>0</v>
      </c>
    </row>
    <row r="18" spans="1:36">
      <c r="A18" s="18">
        <v>15</v>
      </c>
      <c r="B18" s="19" t="s">
        <v>36</v>
      </c>
      <c r="C18" s="20">
        <v>10</v>
      </c>
      <c r="D18" s="20">
        <v>7.5</v>
      </c>
      <c r="E18" s="20"/>
      <c r="F18" s="15">
        <f t="shared" si="0"/>
        <v>17.5</v>
      </c>
      <c r="G18" s="21">
        <f t="shared" si="1"/>
        <v>100</v>
      </c>
      <c r="H18" s="22">
        <f t="shared" si="2"/>
        <v>20</v>
      </c>
      <c r="I18" s="15">
        <v>0</v>
      </c>
      <c r="J18" s="20"/>
      <c r="K18" s="20">
        <v>25</v>
      </c>
      <c r="L18" s="20">
        <v>25</v>
      </c>
      <c r="M18" s="20">
        <v>25</v>
      </c>
      <c r="N18" s="20">
        <v>25</v>
      </c>
      <c r="O18" s="15">
        <f t="shared" si="3"/>
        <v>100</v>
      </c>
      <c r="P18" s="21">
        <f t="shared" si="4"/>
        <v>100</v>
      </c>
      <c r="Q18" s="22">
        <f t="shared" si="5"/>
        <v>30</v>
      </c>
      <c r="R18" s="15">
        <v>50</v>
      </c>
      <c r="S18" s="21">
        <f t="shared" si="6"/>
        <v>100</v>
      </c>
      <c r="T18" s="22">
        <f t="shared" si="7"/>
        <v>50</v>
      </c>
      <c r="U18" s="21">
        <f t="shared" si="8"/>
        <v>100</v>
      </c>
      <c r="V18" s="36" t="s">
        <v>20</v>
      </c>
      <c r="W18" s="37" t="s">
        <v>20</v>
      </c>
      <c r="X18" s="37" t="s">
        <v>20</v>
      </c>
      <c r="Y18" s="37"/>
      <c r="Z18" s="37"/>
      <c r="AA18" s="37"/>
      <c r="AB18" s="37"/>
      <c r="AC18" s="37"/>
      <c r="AD18" s="37"/>
      <c r="AE18" s="48">
        <v>1.5</v>
      </c>
      <c r="AF18" s="47">
        <v>1.5</v>
      </c>
      <c r="AG18" s="48">
        <v>1.5</v>
      </c>
      <c r="AH18" s="48">
        <v>1.5</v>
      </c>
      <c r="AI18" s="52">
        <v>1.5</v>
      </c>
      <c r="AJ18" s="53">
        <f t="shared" si="9"/>
        <v>7.5</v>
      </c>
    </row>
    <row r="19" spans="1:36">
      <c r="A19" s="18">
        <v>16</v>
      </c>
      <c r="B19" s="19" t="s">
        <v>37</v>
      </c>
      <c r="C19" s="20">
        <v>10</v>
      </c>
      <c r="D19" s="20">
        <v>4.5</v>
      </c>
      <c r="E19" s="20"/>
      <c r="F19" s="15">
        <f t="shared" si="0"/>
        <v>14.5</v>
      </c>
      <c r="G19" s="21">
        <f t="shared" si="1"/>
        <v>91.4285714285714</v>
      </c>
      <c r="H19" s="22">
        <f t="shared" si="2"/>
        <v>18.2857142857143</v>
      </c>
      <c r="I19" s="15">
        <v>0</v>
      </c>
      <c r="J19" s="20"/>
      <c r="K19" s="20">
        <v>25</v>
      </c>
      <c r="L19" s="20">
        <v>25</v>
      </c>
      <c r="M19" s="20">
        <v>25</v>
      </c>
      <c r="N19" s="20">
        <v>25</v>
      </c>
      <c r="O19" s="15">
        <f t="shared" si="3"/>
        <v>100</v>
      </c>
      <c r="P19" s="21">
        <f t="shared" si="4"/>
        <v>100</v>
      </c>
      <c r="Q19" s="22">
        <f t="shared" si="5"/>
        <v>30</v>
      </c>
      <c r="R19" s="15">
        <v>44</v>
      </c>
      <c r="S19" s="21">
        <f t="shared" si="6"/>
        <v>94</v>
      </c>
      <c r="T19" s="22">
        <f t="shared" si="7"/>
        <v>47</v>
      </c>
      <c r="U19" s="21">
        <f t="shared" si="8"/>
        <v>95.2857142857143</v>
      </c>
      <c r="V19" s="36"/>
      <c r="W19" s="37" t="s">
        <v>20</v>
      </c>
      <c r="X19" s="37"/>
      <c r="Y19" s="37"/>
      <c r="Z19" s="37"/>
      <c r="AA19" s="37"/>
      <c r="AB19" s="37"/>
      <c r="AC19" s="37"/>
      <c r="AD19" s="37">
        <v>1.5</v>
      </c>
      <c r="AE19" s="46"/>
      <c r="AF19" s="47">
        <v>1.5</v>
      </c>
      <c r="AG19" s="48">
        <v>1.5</v>
      </c>
      <c r="AH19" s="46"/>
      <c r="AI19" s="52">
        <v>1.5</v>
      </c>
      <c r="AJ19" s="53">
        <f t="shared" si="9"/>
        <v>4.5</v>
      </c>
    </row>
    <row r="20" spans="1:36">
      <c r="A20" s="18">
        <v>17</v>
      </c>
      <c r="B20" s="19" t="s">
        <v>38</v>
      </c>
      <c r="C20" s="20">
        <v>9</v>
      </c>
      <c r="D20" s="20">
        <v>7.5</v>
      </c>
      <c r="E20" s="20"/>
      <c r="F20" s="15">
        <f t="shared" si="0"/>
        <v>16.5</v>
      </c>
      <c r="G20" s="21">
        <f t="shared" si="1"/>
        <v>97.1428571428571</v>
      </c>
      <c r="H20" s="22">
        <f t="shared" si="2"/>
        <v>19.4285714285714</v>
      </c>
      <c r="I20" s="15">
        <v>0</v>
      </c>
      <c r="J20" s="20"/>
      <c r="K20" s="20">
        <v>25</v>
      </c>
      <c r="L20" s="20">
        <v>25</v>
      </c>
      <c r="M20" s="20">
        <v>25</v>
      </c>
      <c r="N20" s="20">
        <v>25</v>
      </c>
      <c r="O20" s="15">
        <f t="shared" si="3"/>
        <v>100</v>
      </c>
      <c r="P20" s="21">
        <f t="shared" si="4"/>
        <v>100</v>
      </c>
      <c r="Q20" s="22">
        <f t="shared" si="5"/>
        <v>30</v>
      </c>
      <c r="R20" s="15">
        <v>48</v>
      </c>
      <c r="S20" s="21">
        <f t="shared" si="6"/>
        <v>98</v>
      </c>
      <c r="T20" s="22">
        <f t="shared" si="7"/>
        <v>49</v>
      </c>
      <c r="U20" s="21">
        <f t="shared" si="8"/>
        <v>98.4285714285714</v>
      </c>
      <c r="V20" s="36"/>
      <c r="W20" s="37" t="s">
        <v>20</v>
      </c>
      <c r="X20" s="37"/>
      <c r="Y20" s="37"/>
      <c r="Z20" s="37"/>
      <c r="AA20" s="37"/>
      <c r="AB20" s="37"/>
      <c r="AC20" s="37"/>
      <c r="AD20" s="37"/>
      <c r="AE20" s="48">
        <v>1.5</v>
      </c>
      <c r="AF20" s="47">
        <v>1.5</v>
      </c>
      <c r="AG20" s="55">
        <v>1.5</v>
      </c>
      <c r="AH20" s="48">
        <v>1.5</v>
      </c>
      <c r="AI20" s="52">
        <v>1.5</v>
      </c>
      <c r="AJ20" s="53">
        <f t="shared" si="9"/>
        <v>7.5</v>
      </c>
    </row>
    <row r="21" spans="1:36">
      <c r="A21" s="18">
        <v>18</v>
      </c>
      <c r="B21" s="19" t="s">
        <v>39</v>
      </c>
      <c r="C21" s="20">
        <v>0</v>
      </c>
      <c r="D21" s="20">
        <v>1.5</v>
      </c>
      <c r="E21" s="20"/>
      <c r="F21" s="15">
        <f t="shared" si="0"/>
        <v>1.5</v>
      </c>
      <c r="G21" s="21">
        <f t="shared" si="1"/>
        <v>54.2857142857143</v>
      </c>
      <c r="H21" s="22">
        <f t="shared" si="2"/>
        <v>10.8571428571429</v>
      </c>
      <c r="I21" s="15">
        <v>0</v>
      </c>
      <c r="J21" s="20"/>
      <c r="K21" s="20">
        <v>25</v>
      </c>
      <c r="L21" s="20">
        <v>25</v>
      </c>
      <c r="M21" s="20">
        <v>25</v>
      </c>
      <c r="N21" s="20">
        <v>25</v>
      </c>
      <c r="O21" s="15">
        <f t="shared" si="3"/>
        <v>100</v>
      </c>
      <c r="P21" s="21">
        <f t="shared" si="4"/>
        <v>100</v>
      </c>
      <c r="Q21" s="22">
        <f t="shared" si="5"/>
        <v>30</v>
      </c>
      <c r="R21" s="15">
        <v>9</v>
      </c>
      <c r="S21" s="21">
        <f t="shared" si="6"/>
        <v>59</v>
      </c>
      <c r="T21" s="22">
        <f t="shared" si="7"/>
        <v>29.5</v>
      </c>
      <c r="U21" s="21">
        <f t="shared" si="8"/>
        <v>70.3571428571429</v>
      </c>
      <c r="V21" s="36" t="s">
        <v>20</v>
      </c>
      <c r="W21" s="37" t="s">
        <v>20</v>
      </c>
      <c r="X21" s="37" t="s">
        <v>20</v>
      </c>
      <c r="Y21" s="37"/>
      <c r="Z21" s="37"/>
      <c r="AA21" s="37"/>
      <c r="AB21" s="37"/>
      <c r="AC21" s="37"/>
      <c r="AD21" s="37"/>
      <c r="AE21" s="46"/>
      <c r="AF21" s="46"/>
      <c r="AG21" s="46"/>
      <c r="AH21" s="46"/>
      <c r="AI21" s="52">
        <v>1.5</v>
      </c>
      <c r="AJ21" s="53">
        <f t="shared" si="9"/>
        <v>1.5</v>
      </c>
    </row>
    <row r="22" spans="1:36">
      <c r="A22" s="18">
        <v>19</v>
      </c>
      <c r="B22" s="19" t="s">
        <v>40</v>
      </c>
      <c r="C22" s="20">
        <v>0</v>
      </c>
      <c r="D22" s="20">
        <v>0</v>
      </c>
      <c r="E22" s="20"/>
      <c r="F22" s="15">
        <f t="shared" si="0"/>
        <v>0</v>
      </c>
      <c r="G22" s="21">
        <f t="shared" si="1"/>
        <v>50</v>
      </c>
      <c r="H22" s="22">
        <f t="shared" si="2"/>
        <v>10</v>
      </c>
      <c r="I22" s="15">
        <v>0</v>
      </c>
      <c r="J22" s="20"/>
      <c r="K22" s="20">
        <v>0</v>
      </c>
      <c r="L22" s="20">
        <v>0</v>
      </c>
      <c r="M22" s="20">
        <v>0</v>
      </c>
      <c r="N22" s="20">
        <v>0</v>
      </c>
      <c r="O22" s="15">
        <f t="shared" si="3"/>
        <v>0</v>
      </c>
      <c r="P22" s="21">
        <f t="shared" si="4"/>
        <v>50</v>
      </c>
      <c r="Q22" s="22">
        <f t="shared" si="5"/>
        <v>15</v>
      </c>
      <c r="R22" s="15">
        <v>0</v>
      </c>
      <c r="S22" s="21">
        <f t="shared" si="6"/>
        <v>50</v>
      </c>
      <c r="T22" s="22">
        <f t="shared" si="7"/>
        <v>25</v>
      </c>
      <c r="U22" s="21">
        <f t="shared" si="8"/>
        <v>50</v>
      </c>
      <c r="V22" s="36" t="s">
        <v>20</v>
      </c>
      <c r="W22" s="37" t="s">
        <v>20</v>
      </c>
      <c r="X22" s="37" t="s">
        <v>20</v>
      </c>
      <c r="Z22" s="37"/>
      <c r="AA22" s="37"/>
      <c r="AB22" s="37"/>
      <c r="AC22" s="37"/>
      <c r="AD22" s="37"/>
      <c r="AE22" s="46"/>
      <c r="AF22" s="46"/>
      <c r="AG22" s="46"/>
      <c r="AH22" s="46"/>
      <c r="AI22" s="54"/>
      <c r="AJ22" s="53">
        <f t="shared" si="9"/>
        <v>0</v>
      </c>
    </row>
    <row r="23" spans="1:36">
      <c r="A23" s="18">
        <v>20</v>
      </c>
      <c r="B23" s="19" t="s">
        <v>41</v>
      </c>
      <c r="C23" s="20">
        <v>10</v>
      </c>
      <c r="D23" s="20">
        <v>6</v>
      </c>
      <c r="E23" s="20"/>
      <c r="F23" s="15">
        <f t="shared" si="0"/>
        <v>16</v>
      </c>
      <c r="G23" s="21">
        <f t="shared" si="1"/>
        <v>95.7142857142857</v>
      </c>
      <c r="H23" s="22">
        <f t="shared" si="2"/>
        <v>19.1428571428571</v>
      </c>
      <c r="I23" s="15">
        <v>0</v>
      </c>
      <c r="J23" s="20"/>
      <c r="K23" s="20">
        <v>25</v>
      </c>
      <c r="L23" s="20">
        <v>25</v>
      </c>
      <c r="M23" s="20">
        <v>25</v>
      </c>
      <c r="N23" s="20">
        <v>25</v>
      </c>
      <c r="O23" s="15">
        <f t="shared" si="3"/>
        <v>100</v>
      </c>
      <c r="P23" s="21">
        <f t="shared" si="4"/>
        <v>100</v>
      </c>
      <c r="Q23" s="22">
        <f t="shared" si="5"/>
        <v>30</v>
      </c>
      <c r="R23" s="15">
        <v>43</v>
      </c>
      <c r="S23" s="21">
        <f t="shared" si="6"/>
        <v>93</v>
      </c>
      <c r="T23" s="22">
        <f t="shared" si="7"/>
        <v>46.5</v>
      </c>
      <c r="U23" s="21">
        <f t="shared" si="8"/>
        <v>95.6428571428571</v>
      </c>
      <c r="V23" s="36" t="s">
        <v>20</v>
      </c>
      <c r="W23" s="37" t="s">
        <v>20</v>
      </c>
      <c r="X23" s="37" t="s">
        <v>20</v>
      </c>
      <c r="Y23" s="37"/>
      <c r="Z23" s="37"/>
      <c r="AA23" s="37"/>
      <c r="AB23" s="37"/>
      <c r="AC23" s="37"/>
      <c r="AD23" s="37"/>
      <c r="AE23" s="48">
        <v>1.5</v>
      </c>
      <c r="AF23" s="47">
        <v>1.5</v>
      </c>
      <c r="AG23" s="46"/>
      <c r="AH23" s="47">
        <v>1.5</v>
      </c>
      <c r="AI23" s="52">
        <v>1.5</v>
      </c>
      <c r="AJ23" s="53">
        <f t="shared" si="9"/>
        <v>6</v>
      </c>
    </row>
    <row r="24" spans="1:36">
      <c r="A24" s="18">
        <v>21</v>
      </c>
      <c r="B24" s="19" t="s">
        <v>42</v>
      </c>
      <c r="C24" s="20">
        <v>8</v>
      </c>
      <c r="D24" s="20">
        <v>4.5</v>
      </c>
      <c r="E24" s="20"/>
      <c r="F24" s="15">
        <f t="shared" si="0"/>
        <v>12.5</v>
      </c>
      <c r="G24" s="21">
        <f t="shared" si="1"/>
        <v>85.7142857142857</v>
      </c>
      <c r="H24" s="22">
        <f t="shared" si="2"/>
        <v>17.1428571428571</v>
      </c>
      <c r="I24" s="15">
        <v>0</v>
      </c>
      <c r="J24" s="20"/>
      <c r="K24" s="20">
        <v>25</v>
      </c>
      <c r="L24" s="20">
        <v>25</v>
      </c>
      <c r="M24" s="20">
        <v>25</v>
      </c>
      <c r="N24" s="20">
        <v>25</v>
      </c>
      <c r="O24" s="15">
        <f t="shared" si="3"/>
        <v>100</v>
      </c>
      <c r="P24" s="21">
        <f t="shared" si="4"/>
        <v>100</v>
      </c>
      <c r="Q24" s="22">
        <f t="shared" si="5"/>
        <v>30</v>
      </c>
      <c r="R24" s="15">
        <v>27</v>
      </c>
      <c r="S24" s="21">
        <f t="shared" si="6"/>
        <v>77</v>
      </c>
      <c r="T24" s="22">
        <f t="shared" si="7"/>
        <v>38.5</v>
      </c>
      <c r="U24" s="21">
        <f t="shared" si="8"/>
        <v>85.6428571428571</v>
      </c>
      <c r="V24" s="36"/>
      <c r="W24" s="37" t="s">
        <v>20</v>
      </c>
      <c r="X24" s="37"/>
      <c r="Y24" s="37"/>
      <c r="Z24" s="37"/>
      <c r="AA24" s="37"/>
      <c r="AB24" s="37"/>
      <c r="AC24" s="37"/>
      <c r="AD24" s="37"/>
      <c r="AE24" s="48">
        <v>1.5</v>
      </c>
      <c r="AF24" s="47">
        <v>1.5</v>
      </c>
      <c r="AG24" s="46"/>
      <c r="AH24" s="46"/>
      <c r="AI24" s="52">
        <v>1.5</v>
      </c>
      <c r="AJ24" s="53">
        <f t="shared" si="9"/>
        <v>4.5</v>
      </c>
    </row>
    <row r="25" spans="1:36">
      <c r="A25" s="18">
        <v>22</v>
      </c>
      <c r="B25" s="19" t="s">
        <v>43</v>
      </c>
      <c r="C25" s="20">
        <v>10</v>
      </c>
      <c r="D25" s="20">
        <v>4.5</v>
      </c>
      <c r="E25" s="20"/>
      <c r="F25" s="15">
        <f t="shared" si="0"/>
        <v>14.5</v>
      </c>
      <c r="G25" s="21">
        <f t="shared" si="1"/>
        <v>91.4285714285714</v>
      </c>
      <c r="H25" s="22">
        <f t="shared" si="2"/>
        <v>18.2857142857143</v>
      </c>
      <c r="I25" s="15">
        <v>0</v>
      </c>
      <c r="J25" s="20"/>
      <c r="K25" s="20">
        <v>25</v>
      </c>
      <c r="L25" s="20">
        <v>25</v>
      </c>
      <c r="M25" s="20">
        <v>25</v>
      </c>
      <c r="N25" s="20">
        <v>25</v>
      </c>
      <c r="O25" s="15">
        <f t="shared" si="3"/>
        <v>100</v>
      </c>
      <c r="P25" s="21">
        <f t="shared" si="4"/>
        <v>100</v>
      </c>
      <c r="Q25" s="22">
        <f t="shared" si="5"/>
        <v>30</v>
      </c>
      <c r="R25" s="15">
        <v>41</v>
      </c>
      <c r="S25" s="21">
        <f t="shared" si="6"/>
        <v>91</v>
      </c>
      <c r="T25" s="22">
        <f t="shared" si="7"/>
        <v>45.5</v>
      </c>
      <c r="U25" s="21">
        <f t="shared" si="8"/>
        <v>93.7857142857143</v>
      </c>
      <c r="V25" s="36"/>
      <c r="W25" s="37"/>
      <c r="X25" s="37" t="s">
        <v>20</v>
      </c>
      <c r="Y25" s="37"/>
      <c r="Z25" s="37"/>
      <c r="AA25" s="37"/>
      <c r="AB25" s="37"/>
      <c r="AC25" s="37"/>
      <c r="AD25" s="37"/>
      <c r="AE25" s="46"/>
      <c r="AF25" s="47">
        <v>1.5</v>
      </c>
      <c r="AG25" s="48">
        <v>1.5</v>
      </c>
      <c r="AH25" s="46"/>
      <c r="AI25" s="52">
        <v>1.5</v>
      </c>
      <c r="AJ25" s="53">
        <f t="shared" si="9"/>
        <v>4.5</v>
      </c>
    </row>
    <row r="26" spans="1:36">
      <c r="A26" s="18">
        <v>23</v>
      </c>
      <c r="B26" s="19" t="s">
        <v>44</v>
      </c>
      <c r="C26" s="20">
        <v>10</v>
      </c>
      <c r="D26" s="20">
        <v>6</v>
      </c>
      <c r="E26" s="20"/>
      <c r="F26" s="15">
        <f t="shared" si="0"/>
        <v>16</v>
      </c>
      <c r="G26" s="21">
        <f t="shared" si="1"/>
        <v>95.7142857142857</v>
      </c>
      <c r="H26" s="22">
        <f t="shared" si="2"/>
        <v>19.1428571428571</v>
      </c>
      <c r="I26" s="15">
        <v>0</v>
      </c>
      <c r="J26" s="20"/>
      <c r="K26" s="20">
        <v>25</v>
      </c>
      <c r="L26" s="20">
        <v>25</v>
      </c>
      <c r="M26" s="20">
        <v>25</v>
      </c>
      <c r="N26" s="20">
        <v>25</v>
      </c>
      <c r="O26" s="15">
        <f t="shared" si="3"/>
        <v>100</v>
      </c>
      <c r="P26" s="21">
        <f t="shared" si="4"/>
        <v>100</v>
      </c>
      <c r="Q26" s="22">
        <f t="shared" si="5"/>
        <v>30</v>
      </c>
      <c r="R26" s="15">
        <v>27</v>
      </c>
      <c r="S26" s="21">
        <f t="shared" si="6"/>
        <v>77</v>
      </c>
      <c r="T26" s="22">
        <f t="shared" si="7"/>
        <v>38.5</v>
      </c>
      <c r="U26" s="21">
        <f t="shared" si="8"/>
        <v>87.6428571428571</v>
      </c>
      <c r="V26" s="36" t="s">
        <v>22</v>
      </c>
      <c r="W26" s="37" t="s">
        <v>20</v>
      </c>
      <c r="X26" s="37" t="s">
        <v>20</v>
      </c>
      <c r="Y26" s="37"/>
      <c r="Z26" s="37"/>
      <c r="AA26" s="37"/>
      <c r="AB26" s="37"/>
      <c r="AC26" s="37"/>
      <c r="AD26" s="37"/>
      <c r="AE26" s="46"/>
      <c r="AF26" s="47">
        <v>1.5</v>
      </c>
      <c r="AG26" s="48">
        <v>1.5</v>
      </c>
      <c r="AH26" s="48">
        <v>1.5</v>
      </c>
      <c r="AI26" s="52">
        <v>1.5</v>
      </c>
      <c r="AJ26" s="53">
        <f t="shared" si="9"/>
        <v>6</v>
      </c>
    </row>
    <row r="27" spans="1:36">
      <c r="A27" s="18">
        <v>24</v>
      </c>
      <c r="B27" s="19" t="s">
        <v>45</v>
      </c>
      <c r="C27" s="20">
        <v>10</v>
      </c>
      <c r="D27" s="20">
        <v>6</v>
      </c>
      <c r="E27" s="20"/>
      <c r="F27" s="15">
        <f t="shared" si="0"/>
        <v>16</v>
      </c>
      <c r="G27" s="21">
        <f t="shared" si="1"/>
        <v>95.7142857142857</v>
      </c>
      <c r="H27" s="22">
        <f t="shared" si="2"/>
        <v>19.1428571428571</v>
      </c>
      <c r="I27" s="15">
        <v>0</v>
      </c>
      <c r="J27" s="20"/>
      <c r="K27" s="20">
        <v>25</v>
      </c>
      <c r="L27" s="20">
        <v>25</v>
      </c>
      <c r="M27" s="20">
        <v>25</v>
      </c>
      <c r="N27" s="20">
        <v>25</v>
      </c>
      <c r="O27" s="15">
        <f t="shared" si="3"/>
        <v>100</v>
      </c>
      <c r="P27" s="21">
        <f t="shared" si="4"/>
        <v>100</v>
      </c>
      <c r="Q27" s="22">
        <f t="shared" si="5"/>
        <v>30</v>
      </c>
      <c r="R27" s="15">
        <v>49</v>
      </c>
      <c r="S27" s="21">
        <f t="shared" si="6"/>
        <v>99</v>
      </c>
      <c r="T27" s="22">
        <f t="shared" si="7"/>
        <v>49.5</v>
      </c>
      <c r="U27" s="21">
        <f t="shared" si="8"/>
        <v>98.6428571428571</v>
      </c>
      <c r="V27" s="36" t="s">
        <v>22</v>
      </c>
      <c r="W27" s="37"/>
      <c r="X27" s="37"/>
      <c r="Y27" s="37"/>
      <c r="Z27" s="37"/>
      <c r="AA27" s="37"/>
      <c r="AB27" s="37"/>
      <c r="AC27" s="37"/>
      <c r="AD27" s="37"/>
      <c r="AE27" s="46"/>
      <c r="AF27" s="47">
        <v>1.5</v>
      </c>
      <c r="AG27" s="48">
        <v>1.5</v>
      </c>
      <c r="AH27" s="48">
        <v>1.5</v>
      </c>
      <c r="AI27" s="52">
        <v>1.5</v>
      </c>
      <c r="AJ27" s="53">
        <f t="shared" si="9"/>
        <v>6</v>
      </c>
    </row>
    <row r="28" spans="1:36">
      <c r="A28" s="18">
        <v>25</v>
      </c>
      <c r="B28" s="19" t="s">
        <v>46</v>
      </c>
      <c r="C28" s="20">
        <v>10</v>
      </c>
      <c r="D28" s="20">
        <v>5.5</v>
      </c>
      <c r="E28" s="20"/>
      <c r="F28" s="15">
        <f t="shared" si="0"/>
        <v>15.5</v>
      </c>
      <c r="G28" s="21">
        <f t="shared" si="1"/>
        <v>94.2857142857143</v>
      </c>
      <c r="H28" s="22">
        <f t="shared" si="2"/>
        <v>18.8571428571429</v>
      </c>
      <c r="I28" s="15">
        <v>0</v>
      </c>
      <c r="J28" s="20"/>
      <c r="K28" s="20">
        <v>25</v>
      </c>
      <c r="L28" s="20">
        <v>25</v>
      </c>
      <c r="M28" s="20">
        <v>25</v>
      </c>
      <c r="N28" s="20">
        <v>25</v>
      </c>
      <c r="O28" s="15">
        <f t="shared" si="3"/>
        <v>100</v>
      </c>
      <c r="P28" s="21">
        <f t="shared" si="4"/>
        <v>100</v>
      </c>
      <c r="Q28" s="22">
        <f t="shared" si="5"/>
        <v>30</v>
      </c>
      <c r="R28" s="15">
        <v>47</v>
      </c>
      <c r="S28" s="21">
        <f t="shared" si="6"/>
        <v>97</v>
      </c>
      <c r="T28" s="22">
        <f t="shared" si="7"/>
        <v>48.5</v>
      </c>
      <c r="U28" s="21">
        <f t="shared" si="8"/>
        <v>97.3571428571429</v>
      </c>
      <c r="V28" s="36" t="s">
        <v>20</v>
      </c>
      <c r="W28" s="37" t="s">
        <v>20</v>
      </c>
      <c r="X28" s="37" t="s">
        <v>20</v>
      </c>
      <c r="Y28" s="37"/>
      <c r="Z28" s="37"/>
      <c r="AA28" s="37"/>
      <c r="AB28" s="37"/>
      <c r="AC28" s="37"/>
      <c r="AD28" s="37"/>
      <c r="AE28" s="46"/>
      <c r="AF28" s="47">
        <v>1.5</v>
      </c>
      <c r="AG28" s="48">
        <v>1</v>
      </c>
      <c r="AH28" s="48">
        <v>1.5</v>
      </c>
      <c r="AI28" s="52">
        <v>1.5</v>
      </c>
      <c r="AJ28" s="53">
        <f t="shared" si="9"/>
        <v>5.5</v>
      </c>
    </row>
    <row r="29" spans="1:36">
      <c r="A29" s="18">
        <v>26</v>
      </c>
      <c r="B29" s="19" t="s">
        <v>47</v>
      </c>
      <c r="C29" s="20">
        <v>8</v>
      </c>
      <c r="D29" s="20">
        <v>7.5</v>
      </c>
      <c r="E29" s="20"/>
      <c r="F29" s="15">
        <f t="shared" si="0"/>
        <v>15.5</v>
      </c>
      <c r="G29" s="21">
        <f t="shared" si="1"/>
        <v>94.2857142857143</v>
      </c>
      <c r="H29" s="22">
        <f t="shared" si="2"/>
        <v>18.8571428571429</v>
      </c>
      <c r="I29" s="15">
        <v>0</v>
      </c>
      <c r="J29" s="20"/>
      <c r="K29" s="20">
        <v>25</v>
      </c>
      <c r="L29" s="20">
        <v>25</v>
      </c>
      <c r="M29" s="20">
        <v>25</v>
      </c>
      <c r="N29" s="20">
        <v>25</v>
      </c>
      <c r="O29" s="15">
        <f t="shared" si="3"/>
        <v>100</v>
      </c>
      <c r="P29" s="21">
        <f t="shared" si="4"/>
        <v>100</v>
      </c>
      <c r="Q29" s="22">
        <f t="shared" si="5"/>
        <v>30</v>
      </c>
      <c r="R29" s="15">
        <v>48</v>
      </c>
      <c r="S29" s="21">
        <f t="shared" si="6"/>
        <v>98</v>
      </c>
      <c r="T29" s="22">
        <f t="shared" si="7"/>
        <v>49</v>
      </c>
      <c r="U29" s="21">
        <f t="shared" si="8"/>
        <v>97.8571428571429</v>
      </c>
      <c r="V29" s="36" t="s">
        <v>20</v>
      </c>
      <c r="W29" s="37" t="s">
        <v>20</v>
      </c>
      <c r="X29" s="37" t="s">
        <v>20</v>
      </c>
      <c r="Y29" s="37"/>
      <c r="Z29" s="37"/>
      <c r="AA29" s="37"/>
      <c r="AB29" s="37"/>
      <c r="AC29" s="37"/>
      <c r="AD29" s="37"/>
      <c r="AE29" s="48">
        <v>1.5</v>
      </c>
      <c r="AF29" s="47">
        <v>1.5</v>
      </c>
      <c r="AG29" s="48">
        <v>1.5</v>
      </c>
      <c r="AH29" s="48">
        <v>1.5</v>
      </c>
      <c r="AI29" s="52">
        <v>1.5</v>
      </c>
      <c r="AJ29" s="53">
        <f t="shared" si="9"/>
        <v>7.5</v>
      </c>
    </row>
    <row r="30" spans="1:36">
      <c r="A30" s="18">
        <v>27</v>
      </c>
      <c r="B30" s="19" t="s">
        <v>48</v>
      </c>
      <c r="C30" s="20">
        <v>9</v>
      </c>
      <c r="D30" s="20">
        <v>4.5</v>
      </c>
      <c r="E30" s="20"/>
      <c r="F30" s="15">
        <f t="shared" si="0"/>
        <v>13.5</v>
      </c>
      <c r="G30" s="21">
        <f t="shared" si="1"/>
        <v>88.5714285714286</v>
      </c>
      <c r="H30" s="22">
        <f t="shared" si="2"/>
        <v>17.7142857142857</v>
      </c>
      <c r="I30" s="15">
        <v>0</v>
      </c>
      <c r="J30" s="20"/>
      <c r="K30" s="20">
        <v>25</v>
      </c>
      <c r="L30" s="20">
        <v>25</v>
      </c>
      <c r="M30" s="20">
        <v>25</v>
      </c>
      <c r="N30" s="20">
        <v>25</v>
      </c>
      <c r="O30" s="15">
        <f t="shared" si="3"/>
        <v>100</v>
      </c>
      <c r="P30" s="21">
        <f t="shared" si="4"/>
        <v>100</v>
      </c>
      <c r="Q30" s="22">
        <f t="shared" si="5"/>
        <v>30</v>
      </c>
      <c r="R30" s="15">
        <v>31</v>
      </c>
      <c r="S30" s="21">
        <f t="shared" si="6"/>
        <v>81</v>
      </c>
      <c r="T30" s="22">
        <f t="shared" si="7"/>
        <v>40.5</v>
      </c>
      <c r="U30" s="21">
        <f t="shared" si="8"/>
        <v>88.2142857142857</v>
      </c>
      <c r="V30" s="36" t="s">
        <v>20</v>
      </c>
      <c r="W30" s="37" t="s">
        <v>20</v>
      </c>
      <c r="X30" s="37" t="s">
        <v>20</v>
      </c>
      <c r="Y30" s="37"/>
      <c r="Z30" s="37"/>
      <c r="AA30" s="37"/>
      <c r="AB30" s="37"/>
      <c r="AC30" s="37"/>
      <c r="AD30" s="37"/>
      <c r="AE30" s="46"/>
      <c r="AF30" s="47">
        <v>1.5</v>
      </c>
      <c r="AG30" s="48">
        <v>1.5</v>
      </c>
      <c r="AH30" s="46"/>
      <c r="AI30" s="52">
        <v>1.5</v>
      </c>
      <c r="AJ30" s="53">
        <f t="shared" si="9"/>
        <v>4.5</v>
      </c>
    </row>
    <row r="31" spans="1:36">
      <c r="A31" s="18">
        <v>28</v>
      </c>
      <c r="B31" s="19" t="s">
        <v>49</v>
      </c>
      <c r="C31" s="20">
        <v>10</v>
      </c>
      <c r="D31" s="20">
        <v>4.5</v>
      </c>
      <c r="E31" s="20"/>
      <c r="F31" s="15">
        <f t="shared" si="0"/>
        <v>14.5</v>
      </c>
      <c r="G31" s="21">
        <f t="shared" si="1"/>
        <v>91.4285714285714</v>
      </c>
      <c r="H31" s="22">
        <f t="shared" si="2"/>
        <v>18.2857142857143</v>
      </c>
      <c r="I31" s="15">
        <v>0</v>
      </c>
      <c r="J31" s="20"/>
      <c r="K31" s="20">
        <v>25</v>
      </c>
      <c r="L31" s="20">
        <v>25</v>
      </c>
      <c r="M31" s="20">
        <v>25</v>
      </c>
      <c r="N31" s="20">
        <v>25</v>
      </c>
      <c r="O31" s="15">
        <f t="shared" si="3"/>
        <v>100</v>
      </c>
      <c r="P31" s="21">
        <f t="shared" si="4"/>
        <v>100</v>
      </c>
      <c r="Q31" s="22">
        <f t="shared" si="5"/>
        <v>30</v>
      </c>
      <c r="R31" s="15"/>
      <c r="S31" s="21">
        <f t="shared" si="6"/>
        <v>50</v>
      </c>
      <c r="T31" s="22">
        <f t="shared" si="7"/>
        <v>25</v>
      </c>
      <c r="U31" s="21">
        <f t="shared" si="8"/>
        <v>73.2857142857143</v>
      </c>
      <c r="V31" s="36" t="s">
        <v>20</v>
      </c>
      <c r="W31" s="37" t="s">
        <v>20</v>
      </c>
      <c r="X31" s="37" t="s">
        <v>20</v>
      </c>
      <c r="Y31" s="37"/>
      <c r="Z31" s="37"/>
      <c r="AA31" s="37"/>
      <c r="AB31" s="37"/>
      <c r="AC31" s="37"/>
      <c r="AD31" s="37">
        <v>1.5</v>
      </c>
      <c r="AE31" s="46"/>
      <c r="AF31" s="47">
        <v>1.5</v>
      </c>
      <c r="AG31" s="48">
        <v>1.5</v>
      </c>
      <c r="AH31" s="48">
        <v>1.5</v>
      </c>
      <c r="AI31" s="54"/>
      <c r="AJ31" s="53">
        <f t="shared" si="9"/>
        <v>4.5</v>
      </c>
    </row>
    <row r="32" spans="1:36">
      <c r="A32" s="18">
        <v>29</v>
      </c>
      <c r="B32" s="19" t="s">
        <v>50</v>
      </c>
      <c r="C32" s="20">
        <v>2</v>
      </c>
      <c r="D32" s="20">
        <v>6</v>
      </c>
      <c r="E32" s="20"/>
      <c r="F32" s="15">
        <f t="shared" si="0"/>
        <v>8</v>
      </c>
      <c r="G32" s="21">
        <f t="shared" si="1"/>
        <v>72.8571428571429</v>
      </c>
      <c r="H32" s="22">
        <f t="shared" si="2"/>
        <v>14.5714285714286</v>
      </c>
      <c r="I32" s="15">
        <v>0</v>
      </c>
      <c r="J32" s="20"/>
      <c r="K32" s="20">
        <v>25</v>
      </c>
      <c r="L32" s="20">
        <v>25</v>
      </c>
      <c r="M32" s="20">
        <v>25</v>
      </c>
      <c r="N32" s="20">
        <v>25</v>
      </c>
      <c r="O32" s="15">
        <f t="shared" si="3"/>
        <v>100</v>
      </c>
      <c r="P32" s="21">
        <f t="shared" si="4"/>
        <v>100</v>
      </c>
      <c r="Q32" s="22">
        <f t="shared" si="5"/>
        <v>30</v>
      </c>
      <c r="R32" s="15">
        <v>42</v>
      </c>
      <c r="S32" s="21">
        <f t="shared" si="6"/>
        <v>92</v>
      </c>
      <c r="T32" s="22">
        <f t="shared" si="7"/>
        <v>46</v>
      </c>
      <c r="U32" s="21">
        <f t="shared" si="8"/>
        <v>90.5714285714286</v>
      </c>
      <c r="V32" s="36" t="s">
        <v>20</v>
      </c>
      <c r="W32" s="37" t="s">
        <v>20</v>
      </c>
      <c r="X32" s="37" t="s">
        <v>20</v>
      </c>
      <c r="Y32" s="37"/>
      <c r="Z32" s="37"/>
      <c r="AA32" s="37"/>
      <c r="AB32" s="37"/>
      <c r="AC32" s="37"/>
      <c r="AD32" s="37">
        <v>1.5</v>
      </c>
      <c r="AE32" s="48">
        <v>1.5</v>
      </c>
      <c r="AF32" s="47">
        <v>1.5</v>
      </c>
      <c r="AG32" s="46"/>
      <c r="AH32" s="48">
        <v>1.5</v>
      </c>
      <c r="AI32" s="52">
        <v>1.5</v>
      </c>
      <c r="AJ32" s="53">
        <f t="shared" si="9"/>
        <v>6</v>
      </c>
    </row>
    <row r="33" spans="1:36">
      <c r="A33" s="18">
        <v>30</v>
      </c>
      <c r="B33" s="19" t="s">
        <v>51</v>
      </c>
      <c r="C33" s="20">
        <v>9</v>
      </c>
      <c r="D33" s="20">
        <v>3</v>
      </c>
      <c r="E33" s="20"/>
      <c r="F33" s="15">
        <f t="shared" si="0"/>
        <v>12</v>
      </c>
      <c r="G33" s="21">
        <f t="shared" si="1"/>
        <v>84.2857142857143</v>
      </c>
      <c r="H33" s="22">
        <f t="shared" si="2"/>
        <v>16.8571428571429</v>
      </c>
      <c r="I33" s="15">
        <v>0</v>
      </c>
      <c r="J33" s="20"/>
      <c r="K33" s="20">
        <v>25</v>
      </c>
      <c r="L33" s="20">
        <v>25</v>
      </c>
      <c r="M33" s="20">
        <v>25</v>
      </c>
      <c r="N33" s="20">
        <v>25</v>
      </c>
      <c r="O33" s="15">
        <f t="shared" si="3"/>
        <v>100</v>
      </c>
      <c r="P33" s="21">
        <f t="shared" si="4"/>
        <v>100</v>
      </c>
      <c r="Q33" s="22">
        <f t="shared" si="5"/>
        <v>30</v>
      </c>
      <c r="R33" s="15">
        <v>45</v>
      </c>
      <c r="S33" s="21">
        <f t="shared" si="6"/>
        <v>95</v>
      </c>
      <c r="T33" s="22">
        <f t="shared" si="7"/>
        <v>47.5</v>
      </c>
      <c r="U33" s="21">
        <f t="shared" si="8"/>
        <v>94.3571428571429</v>
      </c>
      <c r="V33" s="36" t="s">
        <v>20</v>
      </c>
      <c r="W33" s="37" t="s">
        <v>20</v>
      </c>
      <c r="X33" s="37" t="s">
        <v>20</v>
      </c>
      <c r="Y33" s="37"/>
      <c r="Z33" s="37"/>
      <c r="AA33" s="37"/>
      <c r="AB33" s="37"/>
      <c r="AC33" s="37"/>
      <c r="AD33" s="37"/>
      <c r="AE33" s="46"/>
      <c r="AF33" s="46"/>
      <c r="AG33" s="46"/>
      <c r="AH33" s="48">
        <v>1.5</v>
      </c>
      <c r="AI33" s="52">
        <v>1.5</v>
      </c>
      <c r="AJ33" s="53">
        <f t="shared" si="9"/>
        <v>3</v>
      </c>
    </row>
    <row r="34" spans="1:36">
      <c r="A34" s="18">
        <v>31</v>
      </c>
      <c r="B34" s="19" t="s">
        <v>52</v>
      </c>
      <c r="C34" s="20">
        <v>10</v>
      </c>
      <c r="D34" s="20">
        <v>3</v>
      </c>
      <c r="E34" s="20"/>
      <c r="F34" s="15">
        <f t="shared" si="0"/>
        <v>13</v>
      </c>
      <c r="G34" s="21">
        <f t="shared" si="1"/>
        <v>87.1428571428571</v>
      </c>
      <c r="H34" s="22">
        <f t="shared" si="2"/>
        <v>17.4285714285714</v>
      </c>
      <c r="I34" s="15">
        <v>0</v>
      </c>
      <c r="J34" s="20"/>
      <c r="K34" s="20">
        <v>25</v>
      </c>
      <c r="L34" s="20">
        <v>25</v>
      </c>
      <c r="M34" s="20">
        <v>25</v>
      </c>
      <c r="N34" s="20">
        <v>25</v>
      </c>
      <c r="O34" s="15">
        <f t="shared" si="3"/>
        <v>100</v>
      </c>
      <c r="P34" s="21">
        <f t="shared" si="4"/>
        <v>100</v>
      </c>
      <c r="Q34" s="22">
        <f t="shared" si="5"/>
        <v>30</v>
      </c>
      <c r="R34" s="15">
        <v>28</v>
      </c>
      <c r="S34" s="21">
        <f t="shared" si="6"/>
        <v>78</v>
      </c>
      <c r="T34" s="22">
        <f t="shared" si="7"/>
        <v>39</v>
      </c>
      <c r="U34" s="21">
        <f t="shared" si="8"/>
        <v>86.4285714285714</v>
      </c>
      <c r="V34" s="36" t="s">
        <v>22</v>
      </c>
      <c r="W34" s="37" t="s">
        <v>20</v>
      </c>
      <c r="X34" s="37"/>
      <c r="Y34" s="37"/>
      <c r="AA34" s="37"/>
      <c r="AB34" s="37"/>
      <c r="AC34" s="37"/>
      <c r="AD34" s="37"/>
      <c r="AE34" s="46"/>
      <c r="AF34" s="47">
        <v>1.5</v>
      </c>
      <c r="AG34" s="46"/>
      <c r="AH34" s="46"/>
      <c r="AI34" s="52">
        <v>1.5</v>
      </c>
      <c r="AJ34" s="53">
        <f t="shared" si="9"/>
        <v>3</v>
      </c>
    </row>
    <row r="35" spans="1:36">
      <c r="A35" s="18">
        <v>32</v>
      </c>
      <c r="B35" s="19" t="s">
        <v>53</v>
      </c>
      <c r="C35" s="20">
        <v>0</v>
      </c>
      <c r="D35" s="20">
        <v>2.5</v>
      </c>
      <c r="E35" s="20"/>
      <c r="F35" s="15">
        <f t="shared" si="0"/>
        <v>2.5</v>
      </c>
      <c r="G35" s="21">
        <f t="shared" si="1"/>
        <v>57.1428571428571</v>
      </c>
      <c r="H35" s="22">
        <f t="shared" si="2"/>
        <v>11.4285714285714</v>
      </c>
      <c r="I35" s="15">
        <v>0</v>
      </c>
      <c r="J35" s="20"/>
      <c r="K35" s="20">
        <v>25</v>
      </c>
      <c r="L35" s="20">
        <v>25</v>
      </c>
      <c r="M35" s="20">
        <v>25</v>
      </c>
      <c r="N35" s="20">
        <v>25</v>
      </c>
      <c r="O35" s="15">
        <f t="shared" si="3"/>
        <v>100</v>
      </c>
      <c r="P35" s="21">
        <f t="shared" si="4"/>
        <v>100</v>
      </c>
      <c r="Q35" s="22">
        <f t="shared" si="5"/>
        <v>30</v>
      </c>
      <c r="R35" s="15">
        <v>24</v>
      </c>
      <c r="S35" s="21">
        <f t="shared" si="6"/>
        <v>74</v>
      </c>
      <c r="T35" s="22">
        <f t="shared" si="7"/>
        <v>37</v>
      </c>
      <c r="U35" s="21">
        <f t="shared" si="8"/>
        <v>78.4285714285714</v>
      </c>
      <c r="V35" s="36"/>
      <c r="W35" s="37"/>
      <c r="X35" s="37"/>
      <c r="Y35" s="37"/>
      <c r="Z35" s="37"/>
      <c r="AA35" s="37"/>
      <c r="AB35" s="37"/>
      <c r="AC35" s="37"/>
      <c r="AD35" s="37">
        <v>1.5</v>
      </c>
      <c r="AE35" s="46"/>
      <c r="AF35" s="46"/>
      <c r="AG35" s="46"/>
      <c r="AH35" s="47">
        <v>1</v>
      </c>
      <c r="AI35" s="52">
        <v>1.5</v>
      </c>
      <c r="AJ35" s="53">
        <f t="shared" si="9"/>
        <v>2.5</v>
      </c>
    </row>
    <row r="36" spans="22:29">
      <c r="V36" s="36" t="s">
        <v>22</v>
      </c>
      <c r="W36" s="37" t="s">
        <v>20</v>
      </c>
      <c r="X36" s="37" t="s">
        <v>20</v>
      </c>
      <c r="Y36" s="37"/>
      <c r="Z36" s="37"/>
      <c r="AA36" s="37"/>
      <c r="AB36" s="37"/>
      <c r="AC36" s="37"/>
    </row>
    <row r="37" s="2" customFormat="1" ht="36.6" hidden="1" spans="22:30">
      <c r="V37" s="38"/>
      <c r="W37" s="39"/>
      <c r="X37" s="39"/>
      <c r="Y37" s="39"/>
      <c r="Z37" s="39"/>
      <c r="AA37" s="39"/>
      <c r="AB37" s="39"/>
      <c r="AC37" s="39"/>
      <c r="AD37" s="39"/>
    </row>
    <row r="38" s="3" customFormat="1" ht="40.2" hidden="1" customHeight="1" spans="22:22">
      <c r="V38" s="9"/>
    </row>
    <row r="39" s="4" customFormat="1" ht="40.2" customHeight="1" spans="22:22">
      <c r="V39" s="9"/>
    </row>
    <row r="40" s="3" customFormat="1" ht="40.2" customHeight="1" spans="22:22">
      <c r="V40" s="9"/>
    </row>
    <row r="41" s="3" customFormat="1" ht="40.2" customHeight="1" spans="22:22">
      <c r="V41" s="9"/>
    </row>
    <row r="42" s="3" customFormat="1" ht="40.2" customHeight="1" spans="22:22">
      <c r="V42" s="9"/>
    </row>
    <row r="43" s="3" customFormat="1" ht="40.2" customHeight="1" spans="1:22">
      <c r="A43" s="23"/>
      <c r="B43" s="24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8"/>
      <c r="V43" s="9"/>
    </row>
    <row r="44" s="3" customFormat="1" ht="40.2" customHeight="1" spans="1:22">
      <c r="A44" s="23"/>
      <c r="B44" s="24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8"/>
      <c r="V44" s="9"/>
    </row>
    <row r="45" s="3" customFormat="1" ht="40.2" customHeight="1" spans="1:22">
      <c r="A45" s="23"/>
      <c r="B45" s="24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8"/>
      <c r="V45" s="9"/>
    </row>
    <row r="46" s="3" customFormat="1" ht="40.2" customHeight="1" spans="1:22">
      <c r="A46" s="23"/>
      <c r="B46" s="24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8"/>
      <c r="V46" s="9"/>
    </row>
    <row r="47" s="3" customFormat="1" ht="40.2" customHeight="1" spans="1:22">
      <c r="A47" s="23"/>
      <c r="B47" s="24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8"/>
      <c r="V47" s="9"/>
    </row>
    <row r="48" s="3" customFormat="1" ht="40.2" customHeight="1" spans="1:22">
      <c r="A48" s="23"/>
      <c r="B48" s="24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8"/>
      <c r="V48" s="9"/>
    </row>
    <row r="49" s="3" customFormat="1" ht="40.2" customHeight="1" spans="1:22">
      <c r="A49" s="23"/>
      <c r="B49" s="24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8"/>
      <c r="V49" s="9"/>
    </row>
  </sheetData>
  <mergeCells count="11">
    <mergeCell ref="C1:G1"/>
    <mergeCell ref="I1:P1"/>
    <mergeCell ref="R1:S1"/>
    <mergeCell ref="A1:A3"/>
    <mergeCell ref="B1:B3"/>
    <mergeCell ref="H1:H2"/>
    <mergeCell ref="Q1:Q2"/>
    <mergeCell ref="T1:T2"/>
    <mergeCell ref="U1:U2"/>
    <mergeCell ref="V1:AC2"/>
    <mergeCell ref="AD1:AJ2"/>
  </mergeCells>
  <conditionalFormatting sqref="G4:G35">
    <cfRule type="cellIs" dxfId="0" priority="1" operator="lessThan">
      <formula>75</formula>
    </cfRule>
  </conditionalFormatting>
  <conditionalFormatting sqref="P4:P35">
    <cfRule type="cellIs" dxfId="0" priority="3" operator="lessThan">
      <formula>75</formula>
    </cfRule>
  </conditionalFormatting>
  <conditionalFormatting sqref="S4:S35">
    <cfRule type="cellIs" dxfId="0" priority="2" operator="lessThan">
      <formula>75</formula>
    </cfRule>
  </conditionalFormatting>
  <conditionalFormatting sqref="U4:U35">
    <cfRule type="cellIs" dxfId="0" priority="4" operator="lessThan">
      <formula>75</formula>
    </cfRule>
  </conditionalFormatting>
  <dataValidations count="1">
    <dataValidation type="decimal" operator="between" allowBlank="1" showInputMessage="1" showErrorMessage="1" errorTitle="Invalid Entry" error="Data entered is greater/less than the number of items." sqref="I4:I35 R4:R35">
      <formula1>0</formula1>
      <formula2>#REF!</formula2>
    </dataValidation>
  </dataValidations>
  <printOptions horizontalCentered="1"/>
  <pageMargins left="0.25" right="0.25" top="0.25" bottom="0.25" header="0.3" footer="0.3"/>
  <pageSetup paperSize="1" scale="19" orientation="portrait" horizontalDpi="360" verticalDpi="360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8888888888889" defaultRowHeight="14.4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Prelim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layco</dc:creator>
  <cp:lastModifiedBy>Reijus Cruz</cp:lastModifiedBy>
  <dcterms:created xsi:type="dcterms:W3CDTF">2026-04-09T09:52:00Z</dcterms:created>
  <dcterms:modified xsi:type="dcterms:W3CDTF">2026-04-09T10:22:51Z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F6269B392799491BBE140D96E9ACBBA6_13</vt:lpwstr>
  </property>
  <property fmtid="{D5CDD505-2E9C-101B-9397-08002B2CF9AE}" pid="3" name="KSOProductBuildVer">
    <vt:lpwstr>1033-12.2.0.23155</vt:lpwstr>
  </property>
</Properties>
</file>